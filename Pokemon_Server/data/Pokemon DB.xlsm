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12120" windowHeight="9495"/>
  </bookViews>
  <sheets>
    <sheet name="pkm_abilities" sheetId="1" r:id="rId1"/>
    <sheet name="pkm_ability_changelog" sheetId="4" r:id="rId2"/>
    <sheet name="pkm_ability_flavor_text" sheetId="13" r:id="rId3"/>
    <sheet name="pkm_berries" sheetId="14" r:id="rId4"/>
    <sheet name="pkm_berry_firmness" sheetId="15" r:id="rId5"/>
    <sheet name="pkm_berry_flavors" sheetId="16" r:id="rId6"/>
    <sheet name="pkm_characteristics" sheetId="19" r:id="rId7"/>
    <sheet name="pkm_conquest_episodes" sheetId="20" r:id="rId8"/>
    <sheet name="pkm_conquest_episode_warriors" sheetId="21" r:id="rId9"/>
    <sheet name="pkm_conquest_kingdoms" sheetId="22" r:id="rId10"/>
    <sheet name="pkm_conquest_max_links" sheetId="23" r:id="rId11"/>
    <sheet name="pkm_conquest_move_data" sheetId="24" r:id="rId12"/>
    <sheet name="pkm_conquest_move_displacements" sheetId="25" r:id="rId13"/>
    <sheet name="pkm_conquest_move_effects" sheetId="26" r:id="rId14"/>
    <sheet name="pkm_conquest_move_ranges" sheetId="27" r:id="rId15"/>
    <sheet name="pkm_conquest_pokemon_abilities" sheetId="28" r:id="rId16"/>
    <sheet name="pkm_conquest_pokemon_evolution" sheetId="29" r:id="rId17"/>
    <sheet name="pkm_conquest_pokemon_moves" sheetId="30" r:id="rId18"/>
    <sheet name="pkm_conquest_pokemon_stats" sheetId="31" r:id="rId19"/>
    <sheet name="pkm_conquest_stats" sheetId="32" r:id="rId20"/>
    <sheet name="pkm_conquest_transformation_pok" sheetId="33" r:id="rId21"/>
    <sheet name="pkm_conquest_transformation_war" sheetId="34" r:id="rId22"/>
    <sheet name="pkm_conquest_warrior_archetypes" sheetId="36" r:id="rId23"/>
    <sheet name="pkm_conquest_warriors" sheetId="35" r:id="rId24"/>
    <sheet name="pkm_conquest_warrior_rank_stat_" sheetId="37" r:id="rId25"/>
    <sheet name="pkm_conquest_warrior_ranks" sheetId="38" r:id="rId26"/>
    <sheet name="pkm_conquest_warrior_skills" sheetId="39" r:id="rId27"/>
    <sheet name="pkm_conquest_warrior_specialtie" sheetId="40" r:id="rId28"/>
    <sheet name="pkm_conquest_warrior_stats" sheetId="41" r:id="rId29"/>
    <sheet name="pkm_conquest_warrior_transforma" sheetId="42" r:id="rId30"/>
    <sheet name="pkm_contest_combos" sheetId="43" r:id="rId31"/>
    <sheet name="pkm_contest_effects" sheetId="45" r:id="rId32"/>
    <sheet name="pkm_contest_types" sheetId="46" r:id="rId33"/>
    <sheet name="pkm_egg_groups" sheetId="47" r:id="rId34"/>
    <sheet name="pkm_encounter_conditions" sheetId="48" r:id="rId35"/>
    <sheet name="pkm_encounter_condition_value_m" sheetId="49" r:id="rId36"/>
    <sheet name="pkm_encounter_condition_values" sheetId="50" r:id="rId37"/>
    <sheet name="pkm_encounter_methods" sheetId="51" r:id="rId38"/>
    <sheet name="pkm_encounter_slots" sheetId="52" r:id="rId39"/>
    <sheet name="pkm_encounters" sheetId="53" r:id="rId40"/>
    <sheet name="pkm_evolution_chains" sheetId="54" r:id="rId41"/>
    <sheet name="pkm_evolution_triggers" sheetId="55" r:id="rId42"/>
    <sheet name="pkm_experience" sheetId="56" r:id="rId43"/>
    <sheet name="pkm_genders" sheetId="57" r:id="rId44"/>
    <sheet name="pkm_generations" sheetId="58" r:id="rId45"/>
    <sheet name="pkm_growth_rates" sheetId="59" r:id="rId46"/>
    <sheet name="pkm_item_categories" sheetId="60" r:id="rId47"/>
    <sheet name="pkm_item_flag_map" sheetId="61" r:id="rId48"/>
    <sheet name="pkm_item_flags" sheetId="62" r:id="rId49"/>
    <sheet name="pkm_item_flavor_summaries" sheetId="63" r:id="rId50"/>
    <sheet name="pkm_item_flavor_text" sheetId="64" r:id="rId51"/>
    <sheet name="pkm_item_fling_effects" sheetId="65" r:id="rId52"/>
    <sheet name="pkm_item_game_indices" sheetId="66" r:id="rId53"/>
    <sheet name="pkm_items" sheetId="67" r:id="rId54"/>
    <sheet name="pkm_item_pockets" sheetId="68" r:id="rId55"/>
    <sheet name="pkm_location_area_encounter_rat" sheetId="69" r:id="rId56"/>
    <sheet name="pkm_location_areas" sheetId="70" r:id="rId57"/>
    <sheet name="pkm_location_game_indices" sheetId="71" r:id="rId58"/>
    <sheet name="pkm_locations" sheetId="72" r:id="rId59"/>
    <sheet name="pkm_machines" sheetId="73" r:id="rId60"/>
    <sheet name="pkm_move_battle_styles" sheetId="74" r:id="rId61"/>
    <sheet name="pkm_move_changelog" sheetId="75" r:id="rId62"/>
    <sheet name="pkm_move_damage_classes" sheetId="76" r:id="rId63"/>
    <sheet name="pkm_move_effect_changelog" sheetId="77" r:id="rId64"/>
    <sheet name="pkm_move_effects" sheetId="78" r:id="rId65"/>
    <sheet name="pkm_move_flag_map" sheetId="79" r:id="rId66"/>
    <sheet name="pkm_move_flags" sheetId="80" r:id="rId67"/>
    <sheet name="pkm_move_flavor_summaries" sheetId="81" r:id="rId68"/>
    <sheet name="pkm_move_flavor_text" sheetId="82" r:id="rId69"/>
    <sheet name="pkm_move_meta" sheetId="83" r:id="rId70"/>
    <sheet name="pkm_move_meta_ailments" sheetId="84" r:id="rId71"/>
    <sheet name="pkm_move_meta_categories" sheetId="85" r:id="rId72"/>
    <sheet name="pkm_move_meta_stat_changes" sheetId="86" r:id="rId73"/>
    <sheet name="pkm_moves" sheetId="87" r:id="rId74"/>
    <sheet name="pkm_move_targets" sheetId="88" r:id="rId75"/>
    <sheet name="pkm_nature_battle_style_prefere" sheetId="89" r:id="rId76"/>
    <sheet name="pkm_natures" sheetId="90" r:id="rId77"/>
    <sheet name="pkm_nature_pokeathlon_stats" sheetId="91" r:id="rId78"/>
    <sheet name="pkm_pal_park" sheetId="93" r:id="rId79"/>
    <sheet name="pkm_pal_park_areas" sheetId="94" r:id="rId80"/>
    <sheet name="pkm_pokeathlon_stats" sheetId="95" r:id="rId81"/>
    <sheet name="pkm_pokedexes" sheetId="96" r:id="rId82"/>
    <sheet name="pkm_pokedex_version_groups" sheetId="97" r:id="rId83"/>
    <sheet name="pkm_pokemon" sheetId="98" r:id="rId84"/>
    <sheet name="pkm_pokemon_abilities" sheetId="99" r:id="rId85"/>
    <sheet name="pkm_pokemon_colors" sheetId="100" r:id="rId86"/>
    <sheet name="pkm_pokemon_dex_numbers" sheetId="101" r:id="rId87"/>
    <sheet name="pkm_pokemon_egg_groups" sheetId="102" r:id="rId88"/>
    <sheet name="pkm_pokemon_evolution" sheetId="103" r:id="rId89"/>
    <sheet name="pkm_pokemon_form_generations" sheetId="104" r:id="rId90"/>
    <sheet name="pkm_pokemon_forms" sheetId="105" r:id="rId91"/>
    <sheet name="pkm_pokemon_form_pokeathlon_sta" sheetId="106" r:id="rId92"/>
    <sheet name="pkm_pokemon_game_indices" sheetId="107" r:id="rId93"/>
    <sheet name="pkm_pokemon_habitats" sheetId="108" r:id="rId94"/>
    <sheet name="pkm_pokemon_items" sheetId="109" r:id="rId95"/>
    <sheet name="pkm_pokemon_move_methods" sheetId="110" r:id="rId96"/>
    <sheet name="pkm_pokemon_moves" sheetId="111" r:id="rId97"/>
    <sheet name="pkm_pokemon_shapes" sheetId="112" r:id="rId98"/>
    <sheet name="pkm_pokemon_species" sheetId="113" r:id="rId99"/>
    <sheet name="pkm_pokemon_species_flavor_summ" sheetId="114" r:id="rId100"/>
    <sheet name="pkm_pokemon_species_flavor_text" sheetId="115" r:id="rId101"/>
    <sheet name="pkm_pokemon_stats" sheetId="116" r:id="rId102"/>
    <sheet name="pkm_pokemon_types" sheetId="117" r:id="rId103"/>
    <sheet name="pkm_regions" sheetId="118" r:id="rId104"/>
    <sheet name="pkm_stats" sheetId="119" r:id="rId105"/>
    <sheet name="pkm_super_contest_combos" sheetId="120" r:id="rId106"/>
    <sheet name="pkm_super_contest_effects" sheetId="121" r:id="rId107"/>
    <sheet name="pkm_type_efficacy" sheetId="122" r:id="rId108"/>
    <sheet name="pkm_type_game_indices" sheetId="123" r:id="rId109"/>
    <sheet name="pkm_types" sheetId="124" r:id="rId110"/>
    <sheet name="pkm_version_group_pokemon_move_" sheetId="125" r:id="rId111"/>
    <sheet name="pkm_version_group_regions" sheetId="126" r:id="rId112"/>
    <sheet name="pkm_version_groups" sheetId="127" r:id="rId113"/>
    <sheet name="pkm_versions" sheetId="128" r:id="rId114"/>
  </sheets>
  <calcPr calcId="144525"/>
</workbook>
</file>

<file path=xl/calcChain.xml><?xml version="1.0" encoding="utf-8"?>
<calcChain xmlns="http://schemas.openxmlformats.org/spreadsheetml/2006/main">
  <c r="A10" i="1" l="1"/>
  <c r="A9" i="1"/>
  <c r="A8" i="1" l="1"/>
  <c r="A11" i="1"/>
  <c r="A12" i="1"/>
  <c r="A8" i="128"/>
  <c r="A7" i="128"/>
  <c r="A9" i="128"/>
  <c r="A6" i="128"/>
  <c r="A8" i="127"/>
  <c r="A7" i="127"/>
  <c r="A9" i="127"/>
  <c r="A6" i="127"/>
  <c r="A7" i="126"/>
  <c r="A6" i="126"/>
  <c r="A7" i="125"/>
  <c r="A6" i="125"/>
  <c r="A9" i="124"/>
  <c r="A10" i="124"/>
  <c r="A8" i="124"/>
  <c r="A7" i="124"/>
  <c r="A6" i="124"/>
  <c r="A8" i="123"/>
  <c r="A7" i="123"/>
  <c r="A6" i="123"/>
  <c r="A8" i="122"/>
  <c r="A7" i="122"/>
  <c r="A6" i="122"/>
  <c r="A7" i="121"/>
  <c r="A8" i="121"/>
  <c r="A6" i="121"/>
  <c r="A7" i="120"/>
  <c r="A6" i="120"/>
  <c r="A11" i="119"/>
  <c r="A10" i="119"/>
  <c r="A7" i="119"/>
  <c r="A9" i="119"/>
  <c r="A8" i="119"/>
  <c r="A6" i="119"/>
  <c r="A8" i="118"/>
  <c r="A7" i="118"/>
  <c r="A6" i="118"/>
  <c r="A8" i="117"/>
  <c r="A7" i="117"/>
  <c r="A6" i="117"/>
  <c r="A9" i="116"/>
  <c r="A8" i="116"/>
  <c r="A7" i="116"/>
  <c r="A6" i="116"/>
  <c r="A7" i="115" l="1"/>
  <c r="A8" i="115"/>
  <c r="A6" i="115"/>
  <c r="A7" i="114"/>
  <c r="A6" i="114"/>
  <c r="A8" i="113"/>
  <c r="A9" i="113"/>
  <c r="A10" i="113"/>
  <c r="A11" i="113"/>
  <c r="A12" i="113"/>
  <c r="A13" i="113"/>
  <c r="A14" i="113"/>
  <c r="A15" i="113"/>
  <c r="A16" i="113"/>
  <c r="A17" i="113"/>
  <c r="A18" i="113"/>
  <c r="A19" i="113"/>
  <c r="A20" i="113"/>
  <c r="A21" i="113"/>
  <c r="A22" i="113"/>
  <c r="A23" i="113"/>
  <c r="A24" i="113"/>
  <c r="A25" i="113"/>
  <c r="A27" i="113"/>
  <c r="A26" i="113"/>
  <c r="A7" i="113"/>
  <c r="A6" i="113"/>
  <c r="A10" i="112"/>
  <c r="A9" i="112"/>
  <c r="A8" i="112"/>
  <c r="A7" i="112"/>
  <c r="A6" i="112"/>
  <c r="A10" i="111"/>
  <c r="A11" i="111"/>
  <c r="A9" i="111"/>
  <c r="A8" i="111"/>
  <c r="A7" i="111"/>
  <c r="A6" i="111"/>
  <c r="A9" i="110"/>
  <c r="A8" i="110"/>
  <c r="A7" i="110"/>
  <c r="A6" i="110"/>
  <c r="A9" i="109"/>
  <c r="A8" i="109"/>
  <c r="A7" i="109"/>
  <c r="A6" i="109"/>
  <c r="A8" i="108"/>
  <c r="A7" i="108"/>
  <c r="A6" i="108"/>
  <c r="A8" i="107" l="1"/>
  <c r="A7" i="107"/>
  <c r="A6" i="107"/>
  <c r="A10" i="106"/>
  <c r="A9" i="106"/>
  <c r="A8" i="106"/>
  <c r="A7" i="106"/>
  <c r="A6" i="106"/>
  <c r="A8" i="105"/>
  <c r="A9" i="105"/>
  <c r="A10" i="105"/>
  <c r="A11" i="105"/>
  <c r="A12" i="105"/>
  <c r="A13" i="105"/>
  <c r="A14" i="105"/>
  <c r="A15" i="105"/>
  <c r="A16" i="105"/>
  <c r="A17" i="105"/>
  <c r="A7" i="105"/>
  <c r="A6" i="105"/>
  <c r="A8" i="104"/>
  <c r="A7" i="104"/>
  <c r="A6" i="104"/>
  <c r="A8" i="103"/>
  <c r="A9" i="103"/>
  <c r="A10" i="103"/>
  <c r="A11" i="103"/>
  <c r="A12" i="103"/>
  <c r="A13" i="103"/>
  <c r="A14" i="103"/>
  <c r="A15" i="103"/>
  <c r="A16" i="103"/>
  <c r="A17" i="103"/>
  <c r="A18" i="103"/>
  <c r="A19" i="103"/>
  <c r="A20" i="103"/>
  <c r="A21" i="103"/>
  <c r="A22" i="103"/>
  <c r="A23" i="103"/>
  <c r="A24" i="103"/>
  <c r="A25" i="103"/>
  <c r="A7" i="103"/>
  <c r="A6" i="103"/>
  <c r="A7" i="102"/>
  <c r="A6" i="102"/>
  <c r="A8" i="101"/>
  <c r="A7" i="101"/>
  <c r="A6" i="101"/>
  <c r="A8" i="100"/>
  <c r="A7" i="100"/>
  <c r="A6" i="100"/>
  <c r="A9" i="99"/>
  <c r="A8" i="99"/>
  <c r="A7" i="99"/>
  <c r="A6" i="99"/>
  <c r="A8" i="98"/>
  <c r="A9" i="98"/>
  <c r="A10" i="98"/>
  <c r="A11" i="98"/>
  <c r="A12" i="98"/>
  <c r="A7" i="98"/>
  <c r="A13" i="98"/>
  <c r="A6" i="98"/>
  <c r="A7" i="97"/>
  <c r="A6" i="97"/>
  <c r="A11" i="96"/>
  <c r="A10" i="96"/>
  <c r="A7" i="96"/>
  <c r="A9" i="96"/>
  <c r="A8" i="96"/>
  <c r="A6" i="96"/>
  <c r="A8" i="95"/>
  <c r="A7" i="95"/>
  <c r="A6" i="95"/>
  <c r="A8" i="94"/>
  <c r="A7" i="94"/>
  <c r="A6" i="94"/>
  <c r="A9" i="93"/>
  <c r="A8" i="93"/>
  <c r="A7" i="93"/>
  <c r="A6" i="93"/>
  <c r="A8" i="91"/>
  <c r="A7" i="91"/>
  <c r="A6" i="91"/>
  <c r="A9" i="90"/>
  <c r="A10" i="90"/>
  <c r="A11" i="90"/>
  <c r="A12" i="90"/>
  <c r="A13" i="90"/>
  <c r="A8" i="90"/>
  <c r="A7" i="90"/>
  <c r="A6" i="90"/>
  <c r="A9" i="89"/>
  <c r="A8" i="89"/>
  <c r="A7" i="89"/>
  <c r="A6" i="89"/>
  <c r="A9" i="88"/>
  <c r="A8" i="88"/>
  <c r="A7" i="88"/>
  <c r="A6" i="88"/>
  <c r="A8" i="87"/>
  <c r="A9" i="87"/>
  <c r="A10" i="87"/>
  <c r="A11" i="87"/>
  <c r="A12" i="87"/>
  <c r="A13" i="87"/>
  <c r="A14" i="87"/>
  <c r="A15" i="87"/>
  <c r="A16" i="87"/>
  <c r="A17" i="87"/>
  <c r="A18" i="87"/>
  <c r="A19" i="87"/>
  <c r="A20" i="87"/>
  <c r="A21" i="87"/>
  <c r="A7" i="87"/>
  <c r="A6" i="87"/>
  <c r="A8" i="86"/>
  <c r="A7" i="86"/>
  <c r="A6" i="86"/>
  <c r="A8" i="85"/>
  <c r="A7" i="85"/>
  <c r="A6" i="85"/>
  <c r="A8" i="84"/>
  <c r="A7" i="84"/>
  <c r="A6" i="84"/>
  <c r="A8" i="83"/>
  <c r="A9" i="83"/>
  <c r="A10" i="83"/>
  <c r="A11" i="83"/>
  <c r="A12" i="83"/>
  <c r="A13" i="83"/>
  <c r="A14" i="83"/>
  <c r="A15" i="83"/>
  <c r="A16" i="83"/>
  <c r="A17" i="83"/>
  <c r="A18" i="83"/>
  <c r="A7" i="83"/>
  <c r="A6" i="83"/>
  <c r="A7" i="82" l="1"/>
  <c r="A8" i="82"/>
  <c r="A6" i="82"/>
  <c r="A7" i="81"/>
  <c r="A6" i="81"/>
  <c r="A9" i="80"/>
  <c r="A8" i="80"/>
  <c r="A7" i="80"/>
  <c r="A6" i="80"/>
  <c r="A7" i="79"/>
  <c r="A6" i="79"/>
  <c r="A8" i="78" l="1"/>
  <c r="A7" i="78"/>
  <c r="A6" i="78"/>
  <c r="A9" i="77"/>
  <c r="A8" i="77"/>
  <c r="A7" i="77"/>
  <c r="A6" i="77"/>
  <c r="A9" i="76"/>
  <c r="A8" i="76"/>
  <c r="A7" i="76"/>
  <c r="A6" i="76"/>
  <c r="A9" i="75"/>
  <c r="A10" i="75"/>
  <c r="A11" i="75"/>
  <c r="A12" i="75"/>
  <c r="A13" i="75"/>
  <c r="A14" i="75"/>
  <c r="A15" i="75"/>
  <c r="A8" i="75"/>
  <c r="A7" i="75"/>
  <c r="A6" i="75"/>
  <c r="A8" i="74"/>
  <c r="A7" i="74"/>
  <c r="A6" i="74"/>
  <c r="A9" i="73"/>
  <c r="A8" i="73"/>
  <c r="A7" i="73"/>
  <c r="A6" i="73"/>
  <c r="A9" i="72"/>
  <c r="A8" i="72"/>
  <c r="A7" i="72"/>
  <c r="A6" i="72"/>
  <c r="A8" i="71"/>
  <c r="A7" i="71"/>
  <c r="A6" i="71"/>
  <c r="A10" i="70"/>
  <c r="A9" i="70"/>
  <c r="A8" i="70"/>
  <c r="A7" i="70"/>
  <c r="A6" i="70"/>
  <c r="A9" i="69"/>
  <c r="A8" i="69"/>
  <c r="A7" i="69"/>
  <c r="A6" i="69"/>
  <c r="A13" i="67" l="1"/>
  <c r="A14" i="67"/>
  <c r="A8" i="68" l="1"/>
  <c r="A7" i="68"/>
  <c r="A6" i="68"/>
  <c r="A8" i="67"/>
  <c r="A9" i="67"/>
  <c r="A10" i="67"/>
  <c r="A11" i="67"/>
  <c r="A12" i="67"/>
  <c r="A7" i="67"/>
  <c r="A6" i="67"/>
  <c r="A8" i="66"/>
  <c r="A7" i="66"/>
  <c r="A6" i="66"/>
  <c r="A8" i="65"/>
  <c r="A7" i="65"/>
  <c r="A6" i="65"/>
  <c r="A7" i="64" l="1"/>
  <c r="A8" i="64"/>
  <c r="A6" i="64"/>
  <c r="A7" i="63"/>
  <c r="A6" i="63"/>
  <c r="A8" i="62"/>
  <c r="A9" i="62"/>
  <c r="A7" i="62"/>
  <c r="A6" i="62"/>
  <c r="A7" i="61"/>
  <c r="A6" i="61"/>
  <c r="A7" i="60"/>
  <c r="A9" i="60"/>
  <c r="A8" i="60"/>
  <c r="A6" i="60"/>
  <c r="A9" i="59"/>
  <c r="A8" i="59"/>
  <c r="A7" i="59"/>
  <c r="A6" i="59"/>
  <c r="A8" i="58"/>
  <c r="A9" i="58"/>
  <c r="A7" i="58"/>
  <c r="A6" i="58"/>
  <c r="A7" i="57"/>
  <c r="A6" i="57"/>
  <c r="A8" i="56"/>
  <c r="A7" i="56"/>
  <c r="A6" i="56"/>
  <c r="A7" i="55"/>
  <c r="A8" i="55"/>
  <c r="A6" i="55"/>
  <c r="A7" i="54"/>
  <c r="A6" i="54"/>
  <c r="A11" i="53"/>
  <c r="A10" i="53"/>
  <c r="A12" i="53"/>
  <c r="A9" i="53"/>
  <c r="A8" i="53"/>
  <c r="A7" i="53"/>
  <c r="A6" i="53"/>
  <c r="A9" i="52"/>
  <c r="A10" i="52"/>
  <c r="A8" i="52"/>
  <c r="A7" i="52"/>
  <c r="A6" i="52"/>
  <c r="A9" i="51"/>
  <c r="A8" i="51"/>
  <c r="A7" i="51"/>
  <c r="A6" i="51"/>
  <c r="A8" i="50"/>
  <c r="A9" i="50"/>
  <c r="A7" i="50"/>
  <c r="A10" i="50"/>
  <c r="A6" i="50"/>
  <c r="A7" i="49"/>
  <c r="A6" i="49"/>
  <c r="A8" i="48"/>
  <c r="A7" i="48"/>
  <c r="A6" i="48"/>
  <c r="A8" i="47"/>
  <c r="A7" i="47"/>
  <c r="A6" i="47"/>
  <c r="A10" i="46"/>
  <c r="A9" i="46"/>
  <c r="A8" i="46"/>
  <c r="A7" i="46"/>
  <c r="A6" i="46"/>
  <c r="A8" i="45"/>
  <c r="A9" i="45"/>
  <c r="A7" i="45"/>
  <c r="A10" i="45"/>
  <c r="A6" i="45"/>
  <c r="A7" i="43"/>
  <c r="A6" i="43"/>
  <c r="A8" i="42"/>
  <c r="A9" i="42"/>
  <c r="A10" i="42"/>
  <c r="A11" i="42"/>
  <c r="A12" i="42"/>
  <c r="A13" i="42"/>
  <c r="A7" i="42"/>
  <c r="A15" i="42"/>
  <c r="A14" i="42"/>
  <c r="A6" i="42"/>
  <c r="A8" i="41"/>
  <c r="A7" i="41"/>
  <c r="A6" i="41"/>
  <c r="A8" i="40"/>
  <c r="A7" i="40"/>
  <c r="A6" i="40"/>
  <c r="A8" i="39"/>
  <c r="A7" i="39"/>
  <c r="A6" i="39"/>
  <c r="A8" i="38"/>
  <c r="A9" i="38"/>
  <c r="A7" i="38"/>
  <c r="A6" i="38"/>
  <c r="A7" i="37"/>
  <c r="A8" i="37"/>
  <c r="A6" i="37"/>
  <c r="A7" i="36"/>
  <c r="A6" i="36"/>
  <c r="A8" i="35"/>
  <c r="A9" i="35"/>
  <c r="A7" i="35"/>
  <c r="A10" i="35"/>
  <c r="A6" i="35"/>
  <c r="A7" i="34"/>
  <c r="A6" i="34"/>
  <c r="A7" i="33"/>
  <c r="A6" i="33"/>
  <c r="A9" i="32"/>
  <c r="A8" i="32"/>
  <c r="A7" i="32"/>
  <c r="A6" i="32"/>
  <c r="A8" i="31"/>
  <c r="A7" i="31"/>
  <c r="A6" i="31"/>
  <c r="A7" i="30"/>
  <c r="A6" i="30"/>
  <c r="A9" i="29"/>
  <c r="A10" i="29"/>
  <c r="A11" i="29"/>
  <c r="A12" i="29"/>
  <c r="A13" i="29"/>
  <c r="A8" i="29"/>
  <c r="A7" i="29"/>
  <c r="A6" i="29"/>
  <c r="A8" i="28"/>
  <c r="A7" i="28"/>
  <c r="A6" i="28"/>
  <c r="A8" i="27"/>
  <c r="A7" i="27"/>
  <c r="A10" i="27"/>
  <c r="A9" i="27"/>
  <c r="A6" i="27"/>
  <c r="A8" i="26"/>
  <c r="A7" i="26"/>
  <c r="A6" i="26"/>
  <c r="A11" i="25"/>
  <c r="A10" i="25"/>
  <c r="A9" i="25"/>
  <c r="A8" i="25"/>
  <c r="A7" i="25"/>
  <c r="A6" i="25"/>
  <c r="A9" i="24"/>
  <c r="A10" i="24"/>
  <c r="A11" i="24"/>
  <c r="A12" i="24"/>
  <c r="A8" i="24"/>
  <c r="A7" i="24"/>
  <c r="A6" i="24"/>
  <c r="A8" i="23"/>
  <c r="A7" i="23"/>
  <c r="A6" i="23"/>
  <c r="A8" i="22"/>
  <c r="A7" i="22"/>
  <c r="A9" i="22"/>
  <c r="A6" i="22"/>
  <c r="A7" i="21"/>
  <c r="A6" i="21"/>
  <c r="A8" i="20"/>
  <c r="A7" i="20"/>
  <c r="A6" i="20"/>
  <c r="A9" i="19"/>
  <c r="A8" i="19"/>
  <c r="A7" i="19"/>
  <c r="A6" i="19"/>
  <c r="A8" i="16" l="1"/>
  <c r="A7" i="16"/>
  <c r="A6" i="16"/>
  <c r="A8" i="15"/>
  <c r="A7" i="15"/>
  <c r="A6" i="15"/>
  <c r="A8" i="14"/>
  <c r="A9" i="14"/>
  <c r="A10" i="14"/>
  <c r="A11" i="14"/>
  <c r="A12" i="14"/>
  <c r="A13" i="14"/>
  <c r="A14" i="14"/>
  <c r="A15" i="14"/>
  <c r="A7" i="14"/>
  <c r="A6" i="14"/>
  <c r="A8" i="13"/>
  <c r="A7" i="13"/>
  <c r="A6" i="13"/>
  <c r="A9" i="4"/>
  <c r="A8" i="4"/>
  <c r="A7" i="4"/>
  <c r="A6" i="4"/>
  <c r="A7" i="1" l="1"/>
  <c r="A6" i="1"/>
</calcChain>
</file>

<file path=xl/sharedStrings.xml><?xml version="1.0" encoding="utf-8"?>
<sst xmlns="http://schemas.openxmlformats.org/spreadsheetml/2006/main" count="3096" uniqueCount="510">
  <si>
    <t>DB</t>
  </si>
  <si>
    <t>pokemon_db</t>
  </si>
  <si>
    <t>Created date</t>
  </si>
  <si>
    <t>Table name</t>
  </si>
  <si>
    <t>Updated date</t>
  </si>
  <si>
    <t>No</t>
  </si>
  <si>
    <t>Column name</t>
  </si>
  <si>
    <t>Data type</t>
  </si>
  <si>
    <t>Length</t>
  </si>
  <si>
    <t>Required</t>
  </si>
  <si>
    <t>Primary key</t>
  </si>
  <si>
    <t>Foreign key</t>
  </si>
  <si>
    <t>Note</t>
  </si>
  <si>
    <t>integer</t>
  </si>
  <si>
    <t>pkm_abilities</t>
  </si>
  <si>
    <t>X</t>
  </si>
  <si>
    <t>ability_id</t>
  </si>
  <si>
    <t>name</t>
  </si>
  <si>
    <t>character varying</t>
  </si>
  <si>
    <t>name_alias</t>
  </si>
  <si>
    <t>short_effect</t>
  </si>
  <si>
    <t>text</t>
  </si>
  <si>
    <t>effect</t>
  </si>
  <si>
    <t>generation_id</t>
  </si>
  <si>
    <t>is_main_series</t>
  </si>
  <si>
    <t>pk_ability_id</t>
  </si>
  <si>
    <t>ability_changelog_id</t>
  </si>
  <si>
    <t>pkm_ability_changelog</t>
  </si>
  <si>
    <t>changed_in_version_group_id</t>
  </si>
  <si>
    <t>pk_ability_changelog_id</t>
  </si>
  <si>
    <t>pkm_ability_flavor_text</t>
  </si>
  <si>
    <t>version_group_id</t>
  </si>
  <si>
    <t>flavor_text</t>
  </si>
  <si>
    <t>pkm_berries</t>
  </si>
  <si>
    <t>berry_id</t>
  </si>
  <si>
    <t>item_id</t>
  </si>
  <si>
    <t>natural_gift_power</t>
  </si>
  <si>
    <t>natural_gift_type_id</t>
  </si>
  <si>
    <t>size</t>
  </si>
  <si>
    <t>max_harvest</t>
  </si>
  <si>
    <t>growth_time</t>
  </si>
  <si>
    <t>soil_dryness</t>
  </si>
  <si>
    <t>smoothness</t>
  </si>
  <si>
    <t>berry_firmness_id</t>
  </si>
  <si>
    <t>pk_berry_id</t>
  </si>
  <si>
    <t>pkm_berry_firmness</t>
  </si>
  <si>
    <t>pk_berry_firmness_id</t>
  </si>
  <si>
    <t>pkm_berry_flavors</t>
  </si>
  <si>
    <t>contest_type_id</t>
  </si>
  <si>
    <t>flavor</t>
  </si>
  <si>
    <t>pkm_characteristics</t>
  </si>
  <si>
    <t>characteristic_id</t>
  </si>
  <si>
    <t>stat_id</t>
  </si>
  <si>
    <t>gene_mod_5</t>
  </si>
  <si>
    <t>message</t>
  </si>
  <si>
    <t>pk_characteristic_id</t>
  </si>
  <si>
    <t>pkm_conquest_episodes</t>
  </si>
  <si>
    <t>conquest_episode_id</t>
  </si>
  <si>
    <t>pk_conquest_episode_id</t>
  </si>
  <si>
    <t>pkm_conquest_episode_warriors</t>
  </si>
  <si>
    <t>conquest_warrior_id</t>
  </si>
  <si>
    <t>pkm_conquest_kingdoms</t>
  </si>
  <si>
    <t>conquest_kingdom_id</t>
  </si>
  <si>
    <t>type_id</t>
  </si>
  <si>
    <t>pk_conquest_kingdom_id</t>
  </si>
  <si>
    <t>pkm_conquest_max_links</t>
  </si>
  <si>
    <t>conquest_warrior_rank_id</t>
  </si>
  <si>
    <t>pokemon_species_id</t>
  </si>
  <si>
    <t>max_link</t>
  </si>
  <si>
    <t>pkm_conquest_move_data</t>
  </si>
  <si>
    <t>conquest_move_id</t>
  </si>
  <si>
    <t>power</t>
  </si>
  <si>
    <t>accuracy</t>
  </si>
  <si>
    <t>effect_chance</t>
  </si>
  <si>
    <t>conquest_move_effect_id</t>
  </si>
  <si>
    <t>conquest_move_range_id</t>
  </si>
  <si>
    <t>conquest_move_displacement_id</t>
  </si>
  <si>
    <t>pkm_conquest_move_displacements</t>
  </si>
  <si>
    <t>affects_target</t>
  </si>
  <si>
    <t>pk_conquest_move_displacement_id</t>
  </si>
  <si>
    <t>pkm_conquest_move_effects</t>
  </si>
  <si>
    <t>pk_conquest_move_effect_id</t>
  </si>
  <si>
    <t>pkm_conquest_move_ranges</t>
  </si>
  <si>
    <t>targets</t>
  </si>
  <si>
    <t>description</t>
  </si>
  <si>
    <t>pk_conquest_move_range_id</t>
  </si>
  <si>
    <t>pkm_conquest_pokemon_abilities</t>
  </si>
  <si>
    <t>slot</t>
  </si>
  <si>
    <t>pkm_conquest_pokemon_evolution</t>
  </si>
  <si>
    <t>evolved_species_id</t>
  </si>
  <si>
    <t>required_stat_id</t>
  </si>
  <si>
    <t>minimum_stat</t>
  </si>
  <si>
    <t>minimum_link</t>
  </si>
  <si>
    <t>warrior_gender_id</t>
  </si>
  <si>
    <t>recruiting_ko_required</t>
  </si>
  <si>
    <t>boolean</t>
  </si>
  <si>
    <t>Default: FALSE</t>
  </si>
  <si>
    <t>pkm_conquest_pokemon_moves</t>
  </si>
  <si>
    <t>pkm_conquest_pokemon_stats</t>
  </si>
  <si>
    <t>conquest_stat_id</t>
  </si>
  <si>
    <t>base_stat</t>
  </si>
  <si>
    <t>pkm_conquest_stats</t>
  </si>
  <si>
    <t>is_base</t>
  </si>
  <si>
    <t>Default: TRUE</t>
  </si>
  <si>
    <t>pk_conquest_stat_id</t>
  </si>
  <si>
    <t>pkm_conquest_transformation_pokemon</t>
  </si>
  <si>
    <t>conquest_transformation_pokemon_id</t>
  </si>
  <si>
    <t>pkm_conquest_transformation_warriors</t>
  </si>
  <si>
    <t>conquest_transformation_warrior_id</t>
  </si>
  <si>
    <t>present_warrior_id</t>
  </si>
  <si>
    <t>pkm_conquest_warriors</t>
  </si>
  <si>
    <t>gender_id</t>
  </si>
  <si>
    <t>conquest_warrior_archetype_id</t>
  </si>
  <si>
    <t>pk_conquest_warrior_id</t>
  </si>
  <si>
    <t>pkm_conquest_warrior_archetypes</t>
  </si>
  <si>
    <t>pk_conquest_warrior_archetype_id</t>
  </si>
  <si>
    <t>pkm_conquest_warrior_ranks</t>
  </si>
  <si>
    <t>pkm_conquest_warrior_rank_stat_map</t>
  </si>
  <si>
    <t>conquest_warrior_stat_id</t>
  </si>
  <si>
    <t>rank</t>
  </si>
  <si>
    <t>conquest_warrior_skill_id</t>
  </si>
  <si>
    <t>pk_conquest_warrior_rank_id</t>
  </si>
  <si>
    <t>pkm_conquest_warrior_skills</t>
  </si>
  <si>
    <t>pk_conquest_warrior_skill_id</t>
  </si>
  <si>
    <t>pkm_conquest_warrior_specialties</t>
  </si>
  <si>
    <t>pkm_conquest_warrior_stats</t>
  </si>
  <si>
    <t>pk_conquest_warrior_stat_id</t>
  </si>
  <si>
    <t>pkm_conquest_warrior_transformation</t>
  </si>
  <si>
    <t>transformed_warrior_rank_id</t>
  </si>
  <si>
    <t>is_automatic</t>
  </si>
  <si>
    <t>required_link</t>
  </si>
  <si>
    <t>completed_episode_id</t>
  </si>
  <si>
    <t>current_episode_id</t>
  </si>
  <si>
    <t>distant_warrior_id</t>
  </si>
  <si>
    <t>female_warlord_count</t>
  </si>
  <si>
    <t>pokemon_count</t>
  </si>
  <si>
    <t>collection_type_id</t>
  </si>
  <si>
    <t>warrior_count</t>
  </si>
  <si>
    <t>pkm_contest_combos</t>
  </si>
  <si>
    <t>first_move_id</t>
  </si>
  <si>
    <t>second_move_id</t>
  </si>
  <si>
    <t>pkm_contest_effects</t>
  </si>
  <si>
    <t>contest_effect_id</t>
  </si>
  <si>
    <t>appeal</t>
  </si>
  <si>
    <t>jam</t>
  </si>
  <si>
    <t>pk_contest_effect_id</t>
  </si>
  <si>
    <t>pkm_contest_types</t>
  </si>
  <si>
    <t>color</t>
  </si>
  <si>
    <t>pk_contest_type_id</t>
  </si>
  <si>
    <t>pkm_egg_groups</t>
  </si>
  <si>
    <t>egg_group_id</t>
  </si>
  <si>
    <t>pk_egg_group_id</t>
  </si>
  <si>
    <t>pkm_encounter_conditions</t>
  </si>
  <si>
    <t>encounter_condition_id</t>
  </si>
  <si>
    <t>pk_encounter_condition_id</t>
  </si>
  <si>
    <t>pkm_encounter_condition_value_map</t>
  </si>
  <si>
    <t>encounter_id</t>
  </si>
  <si>
    <t>pkm_encounter_condition_values</t>
  </si>
  <si>
    <t>encounter_condition_value_id</t>
  </si>
  <si>
    <t>is_default</t>
  </si>
  <si>
    <t>pk_encounter_condition_value_id</t>
  </si>
  <si>
    <t>pkm_encounter_methods</t>
  </si>
  <si>
    <t>encounter_method_id</t>
  </si>
  <si>
    <t>pk_encounter_method_id</t>
  </si>
  <si>
    <t>pkm_encounter_slots</t>
  </si>
  <si>
    <t>encounter_slot_id</t>
  </si>
  <si>
    <t>rarity</t>
  </si>
  <si>
    <t>pk_encounter_slot_id</t>
  </si>
  <si>
    <t>pkm_encounters</t>
  </si>
  <si>
    <t>version_id</t>
  </si>
  <si>
    <t>location_area_id</t>
  </si>
  <si>
    <t>pokemon_id</t>
  </si>
  <si>
    <t>min_level</t>
  </si>
  <si>
    <t>max_level</t>
  </si>
  <si>
    <t>pk_encounter_id</t>
  </si>
  <si>
    <t>pkm_evolution_chains</t>
  </si>
  <si>
    <t>evolution_chain_id</t>
  </si>
  <si>
    <t>baby_trigger_item_id</t>
  </si>
  <si>
    <t>pk_evolution_chain_id</t>
  </si>
  <si>
    <t>pkm_evolution_triggers</t>
  </si>
  <si>
    <t>evolution_trigger_id</t>
  </si>
  <si>
    <t>pk_evolution_trigger_id</t>
  </si>
  <si>
    <t>pkm_experience</t>
  </si>
  <si>
    <t>growth_rate_id</t>
  </si>
  <si>
    <t>level</t>
  </si>
  <si>
    <t>experience</t>
  </si>
  <si>
    <t>pkm_genders</t>
  </si>
  <si>
    <t>pk_gender_id</t>
  </si>
  <si>
    <t>pkm_generations</t>
  </si>
  <si>
    <t>pk_generation_id</t>
  </si>
  <si>
    <t>pkm_growth_rates</t>
  </si>
  <si>
    <t>formula</t>
  </si>
  <si>
    <t>pk_growth_rate_id</t>
  </si>
  <si>
    <t>pkm_item_categories</t>
  </si>
  <si>
    <t>item_category_id</t>
  </si>
  <si>
    <t>item_pocket_id</t>
  </si>
  <si>
    <t>pk_item_category_id</t>
  </si>
  <si>
    <t>healing</t>
  </si>
  <si>
    <t>pkm_item_flag_map</t>
  </si>
  <si>
    <t>item_flag_id</t>
  </si>
  <si>
    <t>pkm_item_flags</t>
  </si>
  <si>
    <t>pk_item_flag_id</t>
  </si>
  <si>
    <t>pkm_item_flavor_summaries</t>
  </si>
  <si>
    <t>flavor_summary</t>
  </si>
  <si>
    <t>pkm_item_flavor_text</t>
  </si>
  <si>
    <t>pkm_item_fling_effects</t>
  </si>
  <si>
    <t>item_fling_effect_id</t>
  </si>
  <si>
    <t>pk_item_fling_effect_id</t>
  </si>
  <si>
    <t>pkm_item_game_indices</t>
  </si>
  <si>
    <t>game_index</t>
  </si>
  <si>
    <t>pkm_items</t>
  </si>
  <si>
    <t>cost</t>
  </si>
  <si>
    <t>fling_power</t>
  </si>
  <si>
    <t>pk_item_id</t>
  </si>
  <si>
    <t>pkm_item_pockets</t>
  </si>
  <si>
    <t>pk_item_pocket_id</t>
  </si>
  <si>
    <t>pkm_location_area_encounter_rates</t>
  </si>
  <si>
    <t>rate</t>
  </si>
  <si>
    <t>pkm_location_areas</t>
  </si>
  <si>
    <t>location_id</t>
  </si>
  <si>
    <t>pk_location_area_id</t>
  </si>
  <si>
    <t>pkm_location_game_indices</t>
  </si>
  <si>
    <t>pkm_locations</t>
  </si>
  <si>
    <t>region_id</t>
  </si>
  <si>
    <t>pk_location_id</t>
  </si>
  <si>
    <t>pkm_machines</t>
  </si>
  <si>
    <t>machine_number</t>
  </si>
  <si>
    <t>move_id</t>
  </si>
  <si>
    <t>pkm_move_battle_styles</t>
  </si>
  <si>
    <t>move_battle_style_id</t>
  </si>
  <si>
    <t>pk_move_battle_style_id</t>
  </si>
  <si>
    <t>pkm_move_changelog</t>
  </si>
  <si>
    <t>pp</t>
  </si>
  <si>
    <t>priority</t>
  </si>
  <si>
    <t>move_effect_id</t>
  </si>
  <si>
    <t>pkm_move_damage_classes</t>
  </si>
  <si>
    <t>move_damage_class_id</t>
  </si>
  <si>
    <t>pk_move_damage_class_id</t>
  </si>
  <si>
    <t>pkm_move_effect_changelog</t>
  </si>
  <si>
    <t>move_effect_changelog_id</t>
  </si>
  <si>
    <t>pk_move_effect_changelog_id</t>
  </si>
  <si>
    <t>pkm_move_effects</t>
  </si>
  <si>
    <t>pk_move_effect_id</t>
  </si>
  <si>
    <t>pkm_move_flag_map</t>
  </si>
  <si>
    <t>move_flag_id</t>
  </si>
  <si>
    <t>pkm_move_flags</t>
  </si>
  <si>
    <t>pk_move_flag_id</t>
  </si>
  <si>
    <t>pkm_move_flavor_summaries</t>
  </si>
  <si>
    <t>pkm_move_flavor_text</t>
  </si>
  <si>
    <t>pkm_move_meta</t>
  </si>
  <si>
    <t>min_hits</t>
  </si>
  <si>
    <t>max_hits</t>
  </si>
  <si>
    <t>min_turns</t>
  </si>
  <si>
    <t>max_turns</t>
  </si>
  <si>
    <t>drain</t>
  </si>
  <si>
    <t>crit_rate</t>
  </si>
  <si>
    <t>ailment_chance</t>
  </si>
  <si>
    <t>flinch_chance</t>
  </si>
  <si>
    <t>stat_chance</t>
  </si>
  <si>
    <t>move_meta_category_id</t>
  </si>
  <si>
    <t>move_meta_ailment_id</t>
  </si>
  <si>
    <t>pkm_move_meta_ailments</t>
  </si>
  <si>
    <t>pk_move_meta_ailment_id</t>
  </si>
  <si>
    <t>pkm_move_meta_categories</t>
  </si>
  <si>
    <t>pk_move_meta_category_id</t>
  </si>
  <si>
    <t>pkm_move_meta_stat_changes</t>
  </si>
  <si>
    <t>change</t>
  </si>
  <si>
    <t>move_target_id</t>
  </si>
  <si>
    <t>pkm_moves</t>
  </si>
  <si>
    <t>super_contest_effect_id</t>
  </si>
  <si>
    <t>pk_move_id</t>
  </si>
  <si>
    <t>pkm_move_targets</t>
  </si>
  <si>
    <t>pkm_nature_battle_style_preferences</t>
  </si>
  <si>
    <t>nature_id</t>
  </si>
  <si>
    <t>low_hp_preference</t>
  </si>
  <si>
    <t>high_hp_preference</t>
  </si>
  <si>
    <t>pkm_natures</t>
  </si>
  <si>
    <t>decreased_stat_id</t>
  </si>
  <si>
    <t>increased_stat_id</t>
  </si>
  <si>
    <t>hates_flavor_id</t>
  </si>
  <si>
    <t>likes_flavor_id</t>
  </si>
  <si>
    <t>pk_nature_id</t>
  </si>
  <si>
    <t>pkm_nature_pokeathlon_stats</t>
  </si>
  <si>
    <t>pokeathlon_stat_id</t>
  </si>
  <si>
    <t>max_change</t>
  </si>
  <si>
    <t>pkm_pal_park</t>
  </si>
  <si>
    <t>base_score</t>
  </si>
  <si>
    <t>pkm_pal_park_areas</t>
  </si>
  <si>
    <t>pal_park_area_id</t>
  </si>
  <si>
    <t>pk_pal_park_area_id</t>
  </si>
  <si>
    <t>pkm_pokeathlon_stats</t>
  </si>
  <si>
    <t>pk_pokeathlon_stat_id</t>
  </si>
  <si>
    <t>pkm_pokedexes</t>
  </si>
  <si>
    <t>pokedex_id</t>
  </si>
  <si>
    <t>pk_pokedex_id</t>
  </si>
  <si>
    <t>pkm_pokedex_version_groups</t>
  </si>
  <si>
    <t>pkm_pokemon</t>
  </si>
  <si>
    <t>height</t>
  </si>
  <si>
    <t>weight</t>
  </si>
  <si>
    <t>base_experience</t>
  </si>
  <si>
    <t>pk_pokemon_id</t>
  </si>
  <si>
    <t>pkm_pokemon_abilities</t>
  </si>
  <si>
    <t>is_hidden</t>
  </si>
  <si>
    <t>pkm_pokemon_colors</t>
  </si>
  <si>
    <t>pokemon_color_id</t>
  </si>
  <si>
    <t>pk_pokemon_color_id</t>
  </si>
  <si>
    <t>pkm_pokemon_dex_numbers</t>
  </si>
  <si>
    <t>pokedex_number</t>
  </si>
  <si>
    <t>pkm_pokemon_egg_groups</t>
  </si>
  <si>
    <t>pkm_pokemon_evolution</t>
  </si>
  <si>
    <t>pokemon_evolution_id</t>
  </si>
  <si>
    <t>trigger_item_id</t>
  </si>
  <si>
    <t>minimum_level</t>
  </si>
  <si>
    <t>held_item_id</t>
  </si>
  <si>
    <t>time_of_day</t>
  </si>
  <si>
    <t>known_move_id</t>
  </si>
  <si>
    <t>known_move_type_id</t>
  </si>
  <si>
    <t>minimum_happiness</t>
  </si>
  <si>
    <t>minimum_beauty</t>
  </si>
  <si>
    <t>minimum_affection</t>
  </si>
  <si>
    <t>relative_physical_stats</t>
  </si>
  <si>
    <t>party_species_id</t>
  </si>
  <si>
    <t>party_type_id</t>
  </si>
  <si>
    <t>trade_species_id</t>
  </si>
  <si>
    <t>needs_overworld_rain</t>
  </si>
  <si>
    <t>turn_upside_down</t>
  </si>
  <si>
    <t>pk_pokemon_evolution_id</t>
  </si>
  <si>
    <t>pkm_pokemon_form_generations</t>
  </si>
  <si>
    <t>pokemon_form_id</t>
  </si>
  <si>
    <t>pkm_pokemon_forms</t>
  </si>
  <si>
    <t>pokemon_name</t>
  </si>
  <si>
    <t>pokemon_name_alias</t>
  </si>
  <si>
    <t>form_name</t>
  </si>
  <si>
    <t>form_name_alias</t>
  </si>
  <si>
    <t>introduced_in_version_group_id</t>
  </si>
  <si>
    <t>is_battle_only</t>
  </si>
  <si>
    <t>is_mega</t>
  </si>
  <si>
    <t>form_order</t>
  </si>
  <si>
    <t>pk_pokemon_form_id</t>
  </si>
  <si>
    <t>pkm_pokemon_form_pokeathlon_stats</t>
  </si>
  <si>
    <t>maximum_stat</t>
  </si>
  <si>
    <t>pkm_pokemon_game_indices</t>
  </si>
  <si>
    <t>pkm_pokemon_habitats</t>
  </si>
  <si>
    <t>pokemon_habitat_id</t>
  </si>
  <si>
    <t>pk_pokemon_habitat_id</t>
  </si>
  <si>
    <t>pkm_pokemon_items</t>
  </si>
  <si>
    <t>pkm_pokemon_move_methods</t>
  </si>
  <si>
    <t>pokemon_move_method_id</t>
  </si>
  <si>
    <t>pk_pokemon_move_method_id</t>
  </si>
  <si>
    <t>pkm_pokemon_moves</t>
  </si>
  <si>
    <t>pkm_pokemon_shapes</t>
  </si>
  <si>
    <t>pokemon_shape_id</t>
  </si>
  <si>
    <t>name_awesome</t>
  </si>
  <si>
    <t>pk_pokemon_shape_id</t>
  </si>
  <si>
    <t>pkm_pokemon_species</t>
  </si>
  <si>
    <t>name_japanese</t>
  </si>
  <si>
    <t>genus</t>
  </si>
  <si>
    <t>evolves_from_species_id</t>
  </si>
  <si>
    <t>gender_rate</t>
  </si>
  <si>
    <t>capture_rate</t>
  </si>
  <si>
    <t>base_happiness</t>
  </si>
  <si>
    <t>is_baby</t>
  </si>
  <si>
    <t>hatch_counter</t>
  </si>
  <si>
    <t>has_gender_differences</t>
  </si>
  <si>
    <t>forms_switchable</t>
  </si>
  <si>
    <t>conquest_order</t>
  </si>
  <si>
    <t>form_description</t>
  </si>
  <si>
    <t>pk_pokemon_species_id</t>
  </si>
  <si>
    <t>pkm_pokemon_species_flavor_summaries</t>
  </si>
  <si>
    <t>pkm_pokemon_species_flavor_text</t>
  </si>
  <si>
    <t>pkm_pokemon_stats</t>
  </si>
  <si>
    <t>effort</t>
  </si>
  <si>
    <t>pkm_pokemon_types</t>
  </si>
  <si>
    <t>pkm_regions</t>
  </si>
  <si>
    <t>pk_region_id</t>
  </si>
  <si>
    <t>pkm_stats</t>
  </si>
  <si>
    <t>pk_stat_id</t>
  </si>
  <si>
    <t>pkm_super_contest_combos</t>
  </si>
  <si>
    <t>pkm_super_contest_effects</t>
  </si>
  <si>
    <t>pk_super_contest_effect_id</t>
  </si>
  <si>
    <t>pkm_type_efficacy</t>
  </si>
  <si>
    <t>damage_type_id</t>
  </si>
  <si>
    <t>target_type_id</t>
  </si>
  <si>
    <t>damage_factor</t>
  </si>
  <si>
    <t>pkm_type_game_indices</t>
  </si>
  <si>
    <t>pkm_types</t>
  </si>
  <si>
    <t>pk_type_id</t>
  </si>
  <si>
    <t>pkm_version_group_pokemon_move_methods</t>
  </si>
  <si>
    <t>pkm_version_group_regions</t>
  </si>
  <si>
    <t>pkm_version_groups</t>
  </si>
  <si>
    <t>pk_version_group_id</t>
  </si>
  <si>
    <t>pkm_versions</t>
  </si>
  <si>
    <t>pk_version_id</t>
  </si>
  <si>
    <t>CREATE TABLE public.pkm_version_group_regions_x000D_
(_x000D_
	version_group_id integer,_x000D_
	region_id integer,_x000D_
)_x000D_
WITH (_x000D_
	OIDS = FALSE_x000D_
)_x000D_
TABLESPACE pg_default;_x000D_
_x000D_
ALTER TABLE public.pkm_version_group_regions_x000D_
	OWNER to postgres;</t>
  </si>
  <si>
    <t>CREATE TABLE public.pkm_regions_x000D_
(_x000D_
	region_id integer NOT NULL,_x000D_
	name character varying(16),_x000D_
	name_alias character varying(16),_x000D_
	CONSTRAINT pk_region_id PRIMARY KEY (region_id) USING INDEX TABLESPACE pg_default_x000D_
)_x000D_
WITH (_x000D_
	OIDS = FALSE_x000D_
)_x000D_
TABLESPACE pg_default;_x000D_
_x000D_
ALTER TABLE public.pkm_regions_x000D_
	OWNER to postgres;</t>
  </si>
  <si>
    <t>CREATE TABLE public.pkm_generations_x000D_
(_x000D_
	generation_id integer NOT NULL,_x000D_
	region_id integer,_x000D_
	name character varying(16),_x000D_
	name_alias character varying(16),_x000D_
	CONSTRAINT pk_generation_id PRIMARY KEY (generation_id) USING INDEX TABLESPACE pg_default_x000D_
)_x000D_
WITH (_x000D_
	OIDS = FALSE_x000D_
)_x000D_
TABLESPACE pg_default;_x000D_
_x000D_
ALTER TABLE public.pkm_generations_x000D_
	OWNER to postgres;</t>
  </si>
  <si>
    <t>order_no</t>
  </si>
  <si>
    <t>CREATE TABLE public.pkm_version_groups_x000D_
(_x000D_
	version_group_id integer NOT NULL,_x000D_
	name_alias character varying(32),_x000D_
	generation_id integer,_x000D_
	order_no integer,_x000D_
	CONSTRAINT pk_version_group_id PRIMARY KEY (version_group_id) USING INDEX TABLESPACE pg_default_x000D_
)_x000D_
WITH (_x000D_
	OIDS = FALSE_x000D_
)_x000D_
TABLESPACE pg_default;_x000D_
_x000D_
ALTER TABLE public.pkm_version_groups_x000D_
	OWNER to postgres;</t>
  </si>
  <si>
    <t>CREATE TABLE public.pkm_versions_x000D_
(_x000D_
	version_id integer NOT NULL,_x000D_
	version_group_id integer,_x000D_
	name character varying(16),_x000D_
	name_alias character varying(16),_x000D_
	CONSTRAINT pk_version_id PRIMARY KEY (version_id) USING INDEX TABLESPACE pg_default_x000D_
)_x000D_
WITH (_x000D_
	OIDS = FALSE_x000D_
)_x000D_
TABLESPACE pg_default;_x000D_
_x000D_
ALTER TABLE public.pkm_versions_x000D_
	OWNER to postgres;</t>
  </si>
  <si>
    <t>CREATE TABLE public.pkm_abilities_x000D_
(_x000D_
	ability_id integer NOT NULL,_x000D_
	name character varying(32),_x000D_
	name_alias character varying(32),_x000D_
	short_effect text,_x000D_
	effect text,_x000D_
	generation_id integer,_x000D_
	is_main_series boolean DEFAULT TRUE,_x000D_
	CONSTRAINT pk_ability_id PRIMARY KEY (ability_id) USING INDEX TABLESPACE pg_default_x000D_
)_x000D_
WITH (_x000D_
	OIDS = FALSE_x000D_
)_x000D_
TABLESPACE pg_default;_x000D_
_x000D_
ALTER TABLE public.pkm_abilities_x000D_
	OWNER to postgres;</t>
  </si>
  <si>
    <t>CREATE TABLE public.pkm_ability_changelog_x000D_
(_x000D_
	ability_changelog_id integer NOT NULL,_x000D_
	ability_id integer,_x000D_
	changed_in_version_group_id integer,_x000D_
	effect text,_x000D_
	CONSTRAINT pk_ability_changelog_id PRIMARY KEY (ability_changelog_id) USING INDEX TABLESPACE pg_default_x000D_
)_x000D_
WITH (_x000D_
	OIDS = FALSE_x000D_
)_x000D_
TABLESPACE pg_default;_x000D_
_x000D_
ALTER TABLE public.pkm_ability_changelog_x000D_
	OWNER to postgres;</t>
  </si>
  <si>
    <t>CREATE TABLE public.pkm_berries_x000D_
(_x000D_
	berry_id integer NOT NULL,_x000D_
	item_id integer,_x000D_
	berry_firmness_id integer,_x000D_
	natural_gift_power integer,_x000D_
	natural_gift_type_id integer,_x000D_
	size integer,_x000D_
	max_harvest integer,_x000D_
	growth_time integer,_x000D_
	soil_dryness integer,_x000D_
	smoothness integer,_x000D_
	CONSTRAINT pk_berry_id PRIMARY KEY (berry_id) USING INDEX TABLESPACE pg_default_x000D_
)_x000D_
WITH (_x000D_
	OIDS = FALSE_x000D_
)_x000D_
TABLESPACE pg_default;_x000D_
_x000D_
ALTER TABLE public.pkm_berries_x000D_
	OWNER to postgres;</t>
  </si>
  <si>
    <t>CREATE TABLE public.pkm_berry_firmness_x000D_
(_x000D_
	berry_firmness_id integer NOT NULL,_x000D_
	name character varying(16),_x000D_
	name_alias character varying(16),_x000D_
	CONSTRAINT pk_berry_firmness_id PRIMARY KEY (berry_firmness_id) USING INDEX TABLESPACE pg_default_x000D_
)_x000D_
WITH (_x000D_
	OIDS = FALSE_x000D_
)_x000D_
TABLESPACE pg_default;_x000D_
_x000D_
ALTER TABLE public.pkm_berry_firmness_x000D_
	OWNER to postgres;</t>
  </si>
  <si>
    <t>CREATE TABLE public.pkm_characteristics_x000D_
(_x000D_
	characteristic_id integer NOT NULL,_x000D_
	stat_id integer,_x000D_
	gene_mod_5 integer,_x000D_
	message character varying(256),_x000D_
	CONSTRAINT pk_characteristic_id PRIMARY KEY (characteristic_id) USING INDEX TABLESPACE pg_default_x000D_
)_x000D_
WITH (_x000D_
	OIDS = FALSE_x000D_
)_x000D_
TABLESPACE pg_default;_x000D_
_x000D_
ALTER TABLE public.pkm_characteristics_x000D_
	OWNER to postgres;</t>
  </si>
  <si>
    <t>CREATE TABLE public.pkm_conquest_episodes_x000D_
(_x000D_
	conquest_episode_id integer NOT NULL,_x000D_
	name character varying(256),_x000D_
	name_alias character varying(256),_x000D_
	CONSTRAINT pk_conquest_episode_id PRIMARY KEY (conquest_episode_id) USING INDEX TABLESPACE pg_default_x000D_
)_x000D_
WITH (_x000D_
	OIDS = FALSE_x000D_
)_x000D_
TABLESPACE pg_default;_x000D_
_x000D_
ALTER TABLE public.pkm_conquest_episodes_x000D_
	OWNER to postgres;</t>
  </si>
  <si>
    <t>conquest_episode_warrior_id</t>
  </si>
  <si>
    <t>pk_conquest_episode_warrior_id</t>
  </si>
  <si>
    <t>CREATE TABLE public.pkm_conquest_episode_warriors_x000D_
(_x000D_
	conquest_episode_warrior_id integer NOT NULL,_x000D_
	conquest_warrior_id integer,_x000D_
	CONSTRAINT pk_conquest_episode_warrior_id PRIMARY KEY (conquest_episode_warrior_id) USING INDEX TABLESPACE pg_default_x000D_
)_x000D_
WITH (_x000D_
	OIDS = FALSE_x000D_
)_x000D_
TABLESPACE pg_default;_x000D_
_x000D_
ALTER TABLE public.pkm_conquest_episode_warriors_x000D_
	OWNER to postgres;</t>
  </si>
  <si>
    <t>CREATE TABLE public.pkm_conquest_kingdoms_x000D_
(_x000D_
	conquest_kingdom_id integer NOT NULL,_x000D_
	name character varying(16),_x000D_
	name_alias character varying(16),_x000D_
	type_id integer,_x000D_
	CONSTRAINT pk_conquest_kingdom_id PRIMARY KEY (conquest_kingdom_id) USING INDEX TABLESPACE pg_default_x000D_
)_x000D_
WITH (_x000D_
	OIDS = FALSE_x000D_
)_x000D_
TABLESPACE pg_default;_x000D_
_x000D_
ALTER TABLE public.pkm_conquest_kingdoms_x000D_
	OWNER to postgres;</t>
  </si>
  <si>
    <t>CREATE TABLE public.pkm_conquest_move_displacements_x000D_
(_x000D_
	conquest_move_displacement_id integer NOT NULL,_x000D_
	name character varying(32),_x000D_
	name_alias character varying(32),_x000D_
	affects_target integer,_x000D_
	short_effect text,_x000D_
	effect text,_x000D_
	CONSTRAINT pk_conquest_move_displacement_id PRIMARY KEY (conquest_move_displacement_id) USING INDEX TABLESPACE pg_default_x000D_
)_x000D_
WITH (_x000D_
	OIDS = FALSE_x000D_
)_x000D_
TABLESPACE pg_default;_x000D_
_x000D_
ALTER TABLE public.pkm_conquest_move_displacements_x000D_
	OWNER to postgres;</t>
  </si>
  <si>
    <t>CREATE TABLE public.pkm_conquest_move_effects_x000D_
(_x000D_
	conquest_move_effect_id integer NOT NULL,_x000D_
	short_effect text,_x000D_
	effect text,_x000D_
	CONSTRAINT pk_conquest_move_effect_id PRIMARY KEY (conquest_move_effect_id) USING INDEX TABLESPACE pg_default_x000D_
)_x000D_
WITH (_x000D_
	OIDS = FALSE_x000D_
)_x000D_
TABLESPACE pg_default;_x000D_
_x000D_
ALTER TABLE public.pkm_conquest_move_effects_x000D_
	OWNER to postgres;</t>
  </si>
  <si>
    <t>CREATE TABLE public.pkm_conquest_move_ranges_x000D_
(_x000D_
	conquest_move_range_id integer NOT NULL,_x000D_
	name character varying(32),_x000D_
	name_alias character varying(32),_x000D_
	targets integer,_x000D_
	description text,_x000D_
	CONSTRAINT pk_conquest_move_range_id PRIMARY KEY (conquest_move_range_id) USING INDEX TABLESPACE pg_default_x000D_
)_x000D_
WITH (_x000D_
	OIDS = FALSE_x000D_
)_x000D_
TABLESPACE pg_default;_x000D_
_x000D_
ALTER TABLE public.pkm_conquest_move_ranges_x000D_
	OWNER to postgres;</t>
  </si>
  <si>
    <t>CREATE TABLE public.pkm_ability_flavor_text_x000D_
(_x000D_
	ability_id integer,_x000D_
	version_group_id integer,_x000D_
	flavor_text text_x000D_
)_x000D_
WITH (_x000D_
	OIDS = FALSE_x000D_
)_x000D_
TABLESPACE pg_default;_x000D_
_x000D_
ALTER TABLE public.pkm_ability_flavor_text_x000D_
	OWNER to postgres;</t>
  </si>
  <si>
    <t>CREATE TABLE public.pkm_berry_flavors_x000D_
(_x000D_
	berry_id integer,_x000D_
	contest_type_id integer,_x000D_
	flavor integer_x000D_
)_x000D_
WITH (_x000D_
	OIDS = FALSE_x000D_
)_x000D_
TABLESPACE pg_default;_x000D_
_x000D_
ALTER TABLE public.pkm_berry_flavors_x000D_
	OWNER to postgres;</t>
  </si>
  <si>
    <t>CREATE TABLE public.pkm_conquest_max_links_x000D_
(_x000D_
	conquest_warrior_rank_id integer,_x000D_
	pokemon_species_id integer,_x000D_
	max_link integer_x000D_
)_x000D_
WITH (_x000D_
	OIDS = FALSE_x000D_
)_x000D_
TABLESPACE pg_default;_x000D_
_x000D_
ALTER TABLE public.pkm_conquest_max_links_x000D_
	OWNER to postgres;</t>
  </si>
  <si>
    <t>CREATE TABLE public.pkm_conquest_move_data_x000D_
(_x000D_
	conquest_move_id integer,_x000D_
	power integer,_x000D_
	accuracy integer,_x000D_
	effect_chance integer,_x000D_
	conquest_move_effect_id integer,_x000D_
	conquest_move_range_id integer,_x000D_
	conquest_move_displacement_id integer_x000D_
)_x000D_
WITH (_x000D_
	OIDS = FALSE_x000D_
)_x000D_
TABLESPACE pg_default;_x000D_
_x000D_
ALTER TABLE public.pkm_conquest_move_data_x000D_
	OWNER to postgres;</t>
  </si>
  <si>
    <t>CREATE TABLE public.pkm_conquest_pokemon_abilities_x000D_
(_x000D_
	pokemon_species_id integer,_x000D_
	slot integer,_x000D_
	ability_id integer_x000D_
)_x000D_
WITH (_x000D_
	OIDS = FALSE_x000D_
)_x000D_
TABLESPACE pg_default;_x000D_
_x000D_
ALTER TABLE public.pkm_conquest_pokemon_abilities_x000D_
	OWNER to postgres;</t>
  </si>
  <si>
    <t>CREATE TABLE public.pkm_conquest_pokemon_evolution_x000D_
(_x000D_
	evolved_species_id integer,_x000D_
	required_stat_id integer,_x000D_
	minimum_stat integer,_x000D_
	minimum_link integer,_x000D_
	conquest_kingdom_id integer,_x000D_
	warrior_gender_id integer,_x000D_
	item_id integer,_x000D_
	recruiting_ko_required boolean DEFAULT FALSE_x000D_
)_x000D_
WITH (_x000D_
	OIDS = FALSE_x000D_
)_x000D_
TABLESPACE pg_default;_x000D_
_x000D_
ALTER TABLE public.pkm_conquest_pokemon_evolution_x000D_
	OWNER to postgres;</t>
  </si>
  <si>
    <t>CREATE TABLE public.pkm_conquest_pokemon_moves_x000D_
(_x000D_
	pokemon_species_id integer,_x000D_
	conquest_move_id integer_x000D_
)_x000D_
WITH (_x000D_
	OIDS = FALSE_x000D_
)_x000D_
TABLESPACE pg_default;_x000D_
_x000D_
ALTER TABLE public.pkm_conquest_pokemon_moves_x000D_
	OWNER to postgres;</t>
  </si>
  <si>
    <t>CREATE TABLE public.pkm_conquest_pokemon_stats_x000D_
(_x000D_
	pokemon_species_id integer,_x000D_
	conquest_stat_id integer,_x000D_
	base_stat integer_x000D_
)_x000D_
WITH (_x000D_
	OIDS = FALSE_x000D_
)_x000D_
TABLESPACE pg_default;_x000D_
_x000D_
ALTER TABLE public.pkm_conquest_pokemon_stats_x000D_
	OWNER to postgres;</t>
  </si>
  <si>
    <t>CREATE TABLE public.pkm_conquest_stats_x000D_
(_x000D_
	conquest_stat_id integer NOT NULL,_x000D_
	name character varying(16),_x000D_
	name_alias character varying(16),_x000D_
	is_base boolean DEFAULT TRUE,_x000D_
	CONSTRAINT pk_conquest_stat_id PRIMARY KEY (conquest_stat_id) USING INDEX TABLESPACE pg_default_x000D_
)_x000D_
WITH (_x000D_
	OIDS = FALSE_x000D_
)_x000D_
TABLESPACE pg_default;_x000D_
_x000D_
ALTER TABLE public.pkm_conquest_stats_x000D_
	OWNER to postgres;</t>
  </si>
  <si>
    <t>CREATE TABLE public.pkm_conquest_transformation_pokemon_x000D_
(_x000D_
	conquest_transformation_pokemon_id integer,_x000D_
	pokemon_species_id integer_x000D_
)_x000D_
WITH (_x000D_
	OIDS = FALSE_x000D_
)_x000D_
TABLESPACE pg_default;_x000D_
_x000D_
ALTER TABLE public.pkm_conquest_transformation_pokemon_x000D_
	OWNER to postgres;</t>
  </si>
  <si>
    <t>CREATE TABLE public.pkm_conquest_transformation_warriors_x000D_
(_x000D_
	conquest_transformation_warrior_id integer,_x000D_
	present_warrior_id integer_x000D_
)_x000D_
WITH (_x000D_
	OIDS = FALSE_x000D_
)_x000D_
TABLESPACE pg_default;_x000D_
_x000D_
ALTER TABLE public.pkm_conquest_transformation_warriors_x000D_
	OWNER to postgres;</t>
  </si>
  <si>
    <t>CREATE TABLE public.pkm_conquest_warrior_archetypes_x000D_
(_x000D_
	conquest_warrior_archetype_id integer NOT NULL,_x000D_
	name_alias character varying(32),_x000D_
	CONSTRAINT pk_conquest_warrior_archetype_id PRIMARY KEY (conquest_warrior_archetype_id) USING INDEX TABLESPACE pg_default_x000D_
)_x000D_
WITH (_x000D_
	OIDS = FALSE_x000D_
)_x000D_
TABLESPACE pg_default;_x000D_
_x000D_
ALTER TABLE public.pkm_conquest_warrior_archetypes_x000D_
	OWNER to postgres;</t>
  </si>
  <si>
    <t>CREATE TABLE public.pkm_conquest_warriors_x000D_
(_x000D_
	conquest_warrior_id integer NOT NULL,_x000D_
	name character varying(16),_x000D_
	name_alias character varying(16),_x000D_
	gender_id integer,_x000D_
	conquest_warrior_archetype_id integer,_x000D_
	CONSTRAINT pk_conquest_warrior_id PRIMARY KEY (conquest_warrior_id) USING INDEX TABLESPACE pg_default_x000D_
)_x000D_
WITH (_x000D_
	OIDS = FALSE_x000D_
)_x000D_
TABLESPACE pg_default;_x000D_
_x000D_
ALTER TABLE public.pkm_conquest_warriors_x000D_
	OWNER to postgres;</t>
  </si>
  <si>
    <t>CREATE TABLE public.pkm_conquest_warrior_rank_stat_map_x000D_
(_x000D_
	conquest_warrior_rank_id integer,_x000D_
	conquest_warrior_stat_id integer,_x000D_
	base_stat integer_x000D_
)_x000D_
WITH (_x000D_
	OIDS = FALSE_x000D_
)_x000D_
TABLESPACE pg_default;_x000D_
_x000D_
ALTER TABLE public.pkm_conquest_warrior_rank_stat_map_x000D_
	OWNER to postgres;</t>
  </si>
  <si>
    <t>CREATE TABLE public.pkm_conquest_warrior_ranks_x000D_
(_x000D_
	conquest_warrior_rank_id integer NOT NULL,_x000D_
	conquest_warrior_id integer,_x000D_
	rank integer,_x000D_
	conquest_warrior_skill_id integer,_x000D_
	CONSTRAINT pk_conquest_warrior_rank_id PRIMARY KEY (conquest_warrior_rank_id) USING INDEX TABLESPACE pg_default_x000D_
)_x000D_
WITH (_x000D_
	OIDS = FALSE_x000D_
)_x000D_
TABLESPACE pg_default;_x000D_
_x000D_
ALTER TABLE public.pkm_conquest_warrior_ranks_x000D_
	OWNER to postgres;</t>
  </si>
  <si>
    <t>CREATE TABLE public.pkm_conquest_warrior_skills_x000D_
(_x000D_
	conquest_warrior_skill_id integer NOT NULL,_x000D_
	name character varying(32),_x000D_
	name_alias character varying(32),_x000D_
	CONSTRAINT pk_conquest_warrior_skill_id PRIMARY KEY (conquest_warrior_skill_id) USING INDEX TABLESPACE pg_default_x000D_
)_x000D_
WITH (_x000D_
	OIDS = FALSE_x000D_
)_x000D_
TABLESPACE pg_default;_x000D_
_x000D_
ALTER TABLE public.pkm_conquest_warrior_skills_x000D_
	OWNER to postgres;</t>
  </si>
  <si>
    <t>CREATE TABLE public.pkm_conquest_warrior_specialties_x000D_
(_x000D_
	conquest_warrior_id integer,_x000D_
	type_id integer,_x000D_
	slot integer_x000D_
)_x000D_
WITH (_x000D_
	OIDS = FALSE_x000D_
)_x000D_
TABLESPACE pg_default;_x000D_
_x000D_
ALTER TABLE public.pkm_conquest_warrior_specialties_x000D_
	OWNER to postgres;</t>
  </si>
  <si>
    <t>CREATE TABLE public.pkm_conquest_warrior_stats_x000D_
(_x000D_
	conquest_warrior_stat_id integer NOT NULL,_x000D_
	name character varying(16),_x000D_
	name_alias character varying(16),_x000D_
	CONSTRAINT pk_conquest_warrior_stat_id PRIMARY KEY (conquest_warrior_stat_id) USING INDEX TABLESPACE pg_default_x000D_
)_x000D_
WITH (_x000D_
	OIDS = FALSE_x000D_
)_x000D_
TABLESPACE pg_default;_x000D_
_x000D_
ALTER TABLE public.pkm_conquest_warrior_stats_x000D_
	OWNER to postgres;</t>
  </si>
  <si>
    <t>CREATE TABLE public.pkm_conquest_warrior_transformation_x000D_
(_x000D_
	transformed_warrior_rank_id integer,_x000D_
	is_automatic boolean DEFAULT FALSE,_x000D_
	required_link integer,_x000D_
	completed_episode_id integer,_x000D_
	current_episode_id integer,_x000D_
	distant_warrior_id integer,_x000D_
	female_warlord_count integer,_x000D_
	pokemon_count integer,_x000D_
	collection_type_id integer,_x000D_
	warrior_count integer_x000D_
)_x000D_
WITH (_x000D_
	OIDS = FALSE_x000D_
)_x000D_
TABLESPACE pg_default;_x000D_
_x000D_
ALTER TABLE public.pkm_conquest_warrior_transformation_x000D_
	OWNER to postgres;</t>
  </si>
  <si>
    <t>CREATE TABLE public.pkm_contest_combos_x000D_
(_x000D_
	first_move_id integer,_x000D_
	second_move_id integer_x000D_
)_x000D_
WITH (_x000D_
	OIDS = FALSE_x000D_
)_x000D_
TABLESPACE pg_default;_x000D_
_x000D_
ALTER TABLE public.pkm_contest_combos_x000D_
	OWNER to postgres;</t>
  </si>
  <si>
    <t>CREATE TABLE public.pkm_contest_effects_x000D_
(_x000D_
	contest_effect_id integer NOT NULL,_x000D_
	appeal integer,_x000D_
	jam integer,_x000D_
	flavor_text text,_x000D_
	effect text,_x000D_
	CONSTRAINT pk_contest_effect_id PRIMARY KEY (contest_effect_id) USING INDEX TABLESPACE pg_default_x000D_
)_x000D_
WITH (_x000D_
	OIDS = FALSE_x000D_
)_x000D_
TABLESPACE pg_default;_x000D_
_x000D_
ALTER TABLE public.pkm_contest_effects_x000D_
	OWNER to postgres;</t>
  </si>
  <si>
    <t>CREATE TABLE public.pkm_contest_types_x000D_
(_x000D_
	contest_type_id integer NOT NULL,_x000D_
	name character varying(16),_x000D_
	name_alias character varying(16),_x000D_
	flavor character varying(16),_x000D_
	color character varying(16),_x000D_
	CONSTRAINT pk_contest_type_id PRIMARY KEY (contest_type_id) USING INDEX TABLESPACE pg_default_x000D_
)_x000D_
WITH (_x000D_
	OIDS = FALSE_x000D_
)_x000D_
TABLESPACE pg_default;_x000D_
_x000D_
ALTER TABLE public.pkm_contest_types_x000D_
	OWNER to postgres;</t>
  </si>
  <si>
    <t>CREATE TABLE public.pkm_egg_groups_x000D_
(_x000D_
	egg_group_id integer NOT NULL,_x000D_
	name character varying(16),_x000D_
	name_alias character varying(16),_x000D_
	CONSTRAINT pk_egg_group_id PRIMARY KEY (egg_group_id) USING INDEX TABLESPACE pg_default_x000D_
)_x000D_
WITH (_x000D_
	OIDS = FALSE_x000D_
)_x000D_
TABLESPACE pg_default;_x000D_
_x000D_
ALTER TABLE public.pkm_egg_groups_x000D_
	OWNER to postgres;</t>
  </si>
  <si>
    <t>CREATE TABLE public.pkm_encounter_conditions_x000D_
(_x000D_
	encounter_condition_id integer NOT NULL,_x000D_
	name character varying(32),_x000D_
	name_alias character varying(16),_x000D_
	CONSTRAINT pk_encounter_condition_id PRIMARY KEY (encounter_condition_id) USING INDEX TABLESPACE pg_default_x000D_
)_x000D_
WITH (_x000D_
	OIDS = FALSE_x000D_
)_x000D_
TABLESPACE pg_default;_x000D_
_x000D_
ALTER TABLE public.pkm_encounter_conditions_x000D_
	OWNER to postgres;</t>
  </si>
  <si>
    <t>CREATE TABLE public.pkm_encounter_condition_value_map_x000D_
(_x000D_
	encounter_id integer,_x000D_
	encounter_condition_value_id integer_x000D_
)_x000D_
WITH (_x000D_
	OIDS = FALSE_x000D_
)_x000D_
TABLESPACE pg_default;_x000D_
_x000D_
ALTER TABLE public.pkm_encounter_condition_value_map_x000D_
	OWNER to postgres;</t>
  </si>
  <si>
    <t>CREATE TABLE public.pkm_encounter_condition_values_x000D_
(_x000D_
	encounter_condition_value_id integer NOT NULL,_x000D_
	encounter_condition_id integer,_x000D_
	name character varying(32),_x000D_
	name_alias character varying(32),_x000D_
	is_default boolean DEFAULT FALSE,_x000D_
	CONSTRAINT pk_encounter_condition_value_id PRIMARY KEY (encounter_condition_value_id) USING INDEX TABLESPACE pg_default_x000D_
)_x000D_
WITH (_x000D_
	OIDS = FALSE_x000D_
)_x000D_
TABLESPACE pg_default;_x000D_
_x000D_
ALTER TABLE public.pkm_encounter_condition_values_x000D_
	OWNER to postgres;</t>
  </si>
  <si>
    <t>CREATE TABLE public.pkm_encounter_methods_x000D_
(_x000D_
	encounter_method_id integer NOT NULL,_x000D_
	name character varying(32),_x000D_
	name_alias character varying(32),_x000D_
	order_no integer,_x000D_
	CONSTRAINT pk_encounter_method_id PRIMARY KEY (encounter_method_id) USING INDEX TABLESPACE pg_default_x000D_
)_x000D_
WITH (_x000D_
	OIDS = FALSE_x000D_
)_x000D_
TABLESPACE pg_default;_x000D_
_x000D_
ALTER TABLE public.pkm_encounter_methods_x000D_
	OWNER to postgres;</t>
  </si>
  <si>
    <t>CREATE TABLE public.pkm_encounter_slots_x000D_
(_x000D_
	encounter_slot_id integer NOT NULL,_x000D_
	version_group_id integer,_x000D_
	encounter_method_id integer,_x000D_
	slot integer,_x000D_
	rarity integer,_x000D_
	CONSTRAINT pk_encounter_slot_id PRIMARY KEY (encounter_slot_id) USING INDEX TABLESPACE pg_default_x000D_
)_x000D_
WITH (_x000D_
	OIDS = FALSE_x000D_
)_x000D_
TABLESPACE pg_default;_x000D_
_x000D_
ALTER TABLE public.pkm_encounter_slots_x000D_
	OWNER to postgres;</t>
  </si>
  <si>
    <t>CREATE TABLE public.pkm_encounters_x000D_
(_x000D_
	encounter_id integer NOT NULL,_x000D_
	version_id integer,_x000D_
	location_area_id integer,_x000D_
	encounter_slot_id integer,_x000D_
	pokemon_id integer,_x000D_
	min_level integer,_x000D_
	max_level integer,_x000D_
	CONSTRAINT pk_encounter_id PRIMARY KEY (encounter_id) USING INDEX TABLESPACE pg_default_x000D_
)_x000D_
WITH (_x000D_
	OIDS = FALSE_x000D_
)_x000D_
TABLESPACE pg_default;_x000D_
_x000D_
ALTER TABLE public.pkm_encounters_x000D_
	OWNER to postgres;</t>
  </si>
  <si>
    <t>CREATE TABLE public.pkm_evolution_chains_x000D_
(_x000D_
	evolution_chain_id integer NOT NULL,_x000D_
	baby_trigger_item_id integer,_x000D_
	CONSTRAINT pk_evolution_chain_id PRIMARY KEY (evolution_chain_id) USING INDEX TABLESPACE pg_default_x000D_
)_x000D_
WITH (_x000D_
	OIDS = FALSE_x000D_
)_x000D_
TABLESPACE pg_default;_x000D_
_x000D_
ALTER TABLE public.pkm_evolution_chains_x000D_
	OWNER to postgres;</t>
  </si>
  <si>
    <t>CREATE TABLE public.pkm_evolution_triggers_x000D_
(_x000D_
	evolution_trigger_id integer NOT NULL,_x000D_
	name character varying(16),_x000D_
	name_alias character varying(16),_x000D_
	CONSTRAINT pk_evolution_trigger_id PRIMARY KEY (evolution_trigger_id) USING INDEX TABLESPACE pg_default_x000D_
)_x000D_
WITH (_x000D_
	OIDS = FALSE_x000D_
)_x000D_
TABLESPACE pg_default;_x000D_
_x000D_
ALTER TABLE public.pkm_evolution_triggers_x000D_
	OWNER to postgres;</t>
  </si>
  <si>
    <t>CREATE TABLE public.pkm_experience_x000D_
(_x000D_
	growth_rate_id integer,_x000D_
	level integer,_x000D_
	experience integer_x000D_
)_x000D_
WITH (_x000D_
	OIDS = FALSE_x000D_
)_x000D_
TABLESPACE pg_default;_x000D_
_x000D_
ALTER TABLE public.pkm_experience_x000D_
	OWNER to postgres;</t>
  </si>
  <si>
    <t>CREATE TABLE public.pkm_genders_x000D_
(_x000D_
	gender_id integer NOT NULL,_x000D_
	name_alias character varying(16),_x000D_
	CONSTRAINT pk_gender_id PRIMARY KEY (gender_id) USING INDEX TABLESPACE pg_default_x000D_
)_x000D_
WITH (_x000D_
	OIDS = FALSE_x000D_
)_x000D_
TABLESPACE pg_default;_x000D_
_x000D_
ALTER TABLE public.pkm_genders_x000D_
	OWNER to postgres;</t>
  </si>
  <si>
    <t>CREATE TABLE public.pkm_growth_rates_x000D_
(_x000D_
	growth_rate_id integer NOT NULL,_x000D_
	name character varying(32),_x000D_
	name_alias character varying(32),_x000D_
	formula text,_x000D_
	CONSTRAINT pk_growth_rate_id PRIMARY KEY (growth_rate_id) USING INDEX TABLESPACE pg_default_x000D_
)_x000D_
WITH (_x000D_
	OIDS = FALSE_x000D_
)_x000D_
TABLESPACE pg_default;_x000D_
_x000D_
ALTER TABLE public.pkm_growth_rates_x000D_
	OWNER to postgres;</t>
  </si>
  <si>
    <t>CREATE TABLE public.pkm_item_categories_x000D_
(_x000D_
	item_category_id integer NOT NULL,_x000D_
	item_pocket_id integer,_x000D_
	name character varying(16),_x000D_
	name_alias character varying(16),_x000D_
	CONSTRAINT pk_item_category_id PRIMARY KEY (item_category_id) USING INDEX TABLESPACE pg_default_x000D_
)_x000D_
WITH (_x000D_
	OIDS = FALSE_x000D_
)_x000D_
TABLESPACE pg_default;_x000D_
_x000D_
ALTER TABLE public.pkm_item_categories_x000D_
	OWNER to postgres;</t>
  </si>
  <si>
    <t>CREATE TABLE public.pkm_item_flag_map_x000D_
(_x000D_
	item_id integer,_x000D_
	item_flag_id integer_x000D_
)_x000D_
WITH (_x000D_
	OIDS = FALSE_x000D_
)_x000D_
TABLESPACE pg_default;_x000D_
_x000D_
ALTER TABLE public.pkm_item_flag_map_x000D_
	OWNER to postgres;</t>
  </si>
  <si>
    <t>CREATE TABLE public.pkm_item_flags_x000D_
(_x000D_
	item_flag_id integer NOT NULL,_x000D_
	name character varying(16),_x000D_
	name_alias character varying(16),_x000D_
	description text,_x000D_
	CONSTRAINT pk_item_flag_id PRIMARY KEY (item_flag_id) USING INDEX TABLESPACE pg_default_x000D_
)_x000D_
WITH (_x000D_
	OIDS = FALSE_x000D_
)_x000D_
TABLESPACE pg_default;_x000D_
_x000D_
ALTER TABLE public.pkm_item_flags_x000D_
	OWNER to postgres;</t>
  </si>
  <si>
    <t>CREATE TABLE public.pkm_item_flavor_summaries_x000D_
(_x000D_
	item_id integer,_x000D_
	flavor_summary text_x000D_
)_x000D_
WITH (_x000D_
	OIDS = FALSE_x000D_
)_x000D_
TABLESPACE pg_default;_x000D_
_x000D_
ALTER TABLE public.pkm_item_flavor_summaries_x000D_
	OWNER to postgres;</t>
  </si>
  <si>
    <t>CREATE TABLE public.pkm_item_flavor_text_x000D_
(_x000D_
	item_id integer,_x000D_
	version_group_id integer,_x000D_
	flavor_text text_x000D_
)_x000D_
WITH (_x000D_
	OIDS = FALSE_x000D_
)_x000D_
TABLESPACE pg_default;_x000D_
_x000D_
ALTER TABLE public.pkm_item_flavor_text_x000D_
	OWNER to postgres;</t>
  </si>
  <si>
    <t>CREATE TABLE public.pkm_item_fling_effects_x000D_
(_x000D_
	item_fling_effect_id integer NOT NULL,_x000D_
	name_alias character varying(16),_x000D_
	effect text,_x000D_
	CONSTRAINT pk_item_fling_effect_id PRIMARY KEY (item_fling_effect_id) USING INDEX TABLESPACE pg_default_x000D_
)_x000D_
WITH (_x000D_
	OIDS = FALSE_x000D_
)_x000D_
TABLESPACE pg_default;_x000D_
_x000D_
ALTER TABLE public.pkm_item_fling_effects_x000D_
	OWNER to postgres;</t>
  </si>
  <si>
    <t>CREATE TABLE public.pkm_item_game_indices_x000D_
(_x000D_
	item_id integer,_x000D_
	generation_id integer,_x000D_
	game_index integer_x000D_
)_x000D_
WITH (_x000D_
	OIDS = FALSE_x000D_
)_x000D_
TABLESPACE pg_default;_x000D_
_x000D_
ALTER TABLE public.pkm_item_game_indices_x000D_
	OWNER to postgres;</t>
  </si>
  <si>
    <t>CREATE TABLE public.pkm_items_x000D_
(_x000D_
	item_id integer NOT NULL,_x000D_
	name character varying(32),_x000D_
	name_alias character varying(32),_x000D_
	item_category_id integer,_x000D_
	cost integer,_x000D_
	fling_power integer,_x000D_
	item_fling_effect_id integer,_x000D_
	short_effect text,_x000D_
	effect text,_x000D_
	CONSTRAINT pk_item_id PRIMARY KEY (item_id) USING INDEX TABLESPACE pg_default_x000D_
)_x000D_
WITH (_x000D_
	OIDS = FALSE_x000D_
)_x000D_
TABLESPACE pg_default;_x000D_
_x000D_
ALTER TABLE public.pkm_items_x000D_
	OWNER to postgres;</t>
  </si>
  <si>
    <t>CREATE TABLE public.pkm_item_pockets_x000D_
(_x000D_
	item_pocket_id integer NOT NULL,_x000D_
	name character varying(16),_x000D_
	name_alias character varying(16),_x000D_
	CONSTRAINT pk_item_pocket_id PRIMARY KEY (item_pocket_id) USING INDEX TABLESPACE pg_default_x000D_
)_x000D_
WITH (_x000D_
	OIDS = FALSE_x000D_
)_x000D_
TABLESPACE pg_default;_x000D_
_x000D_
ALTER TABLE public.pkm_item_pockets_x000D_
	OWNER to postgres;</t>
  </si>
  <si>
    <t>CREATE TABLE public.pkm_location_area_encounter_rates_x000D_
(_x000D_
	location_area_id integer,_x000D_
	encounter_method_id integer,_x000D_
	version_id integer,_x000D_
	rate integer_x000D_
)_x000D_
WITH (_x000D_
	OIDS = FALSE_x000D_
)_x000D_
TABLESPACE pg_default;_x000D_
_x000D_
ALTER TABLE public.pkm_location_area_encounter_rates_x000D_
	OWNER to postgres;</t>
  </si>
  <si>
    <t>CREATE TABLE public.pkm_location_areas_x000D_
(_x000D_
	location_area_id integer NOT NULL,_x000D_
	location_id integer,_x000D_
	game_index integer,_x000D_
	name character varying(32),_x000D_
	name_alias character varying(32),_x000D_
	CONSTRAINT pk_location_area_id PRIMARY KEY (location_area_id) USING INDEX TABLESPACE pg_default_x000D_
)_x000D_
WITH (_x000D_
	OIDS = FALSE_x000D_
)_x000D_
TABLESPACE pg_default;_x000D_
_x000D_
ALTER TABLE public.pkm_location_areas_x000D_
	OWNER to postgres;</t>
  </si>
  <si>
    <t>CREATE TABLE public.pkm_location_game_indices_x000D_
(_x000D_
	location_id integer,_x000D_
	generation_id integer,_x000D_
	game_index integer_x000D_
)_x000D_
WITH (_x000D_
	OIDS = FALSE_x000D_
)_x000D_
TABLESPACE pg_default;_x000D_
_x000D_
ALTER TABLE public.pkm_location_game_indices_x000D_
	OWNER to postgres;</t>
  </si>
  <si>
    <t>CREATE TABLE public.pkm_locations_x000D_
(_x000D_
	location_id integer NOT NULL,_x000D_
	region_id integer,_x000D_
	name character varying(32),_x000D_
	name_alias character varying(32),_x000D_
	CONSTRAINT pk_location_id PRIMARY KEY (location_id) USING INDEX TABLESPACE pg_default_x000D_
)_x000D_
WITH (_x000D_
	OIDS = FALSE_x000D_
)_x000D_
TABLESPACE pg_default;_x000D_
_x000D_
ALTER TABLE public.pkm_locations_x000D_
	OWNER to postgres;</t>
  </si>
  <si>
    <t>CREATE TABLE public.pkm_machines_x000D_
(_x000D_
	machine_number integer,_x000D_
	version_group_id integer,_x000D_
	item_id integer,_x000D_
	move_id integer_x000D_
)_x000D_
WITH (_x000D_
	OIDS = FALSE_x000D_
)_x000D_
TABLESPACE pg_default;_x000D_
_x000D_
ALTER TABLE public.pkm_machines_x000D_
	OWNER to postgres;</t>
  </si>
  <si>
    <t>CREATE TABLE public.pkm_move_battle_styles_x000D_
(_x000D_
	move_battle_style_id integer NOT NULL,_x000D_
	name character varying(16),_x000D_
	name_alias character varying(16),_x000D_
	CONSTRAINT pk_move_battle_style_id PRIMARY KEY (move_battle_style_id) USING INDEX TABLESPACE pg_default_x000D_
)_x000D_
WITH (_x000D_
	OIDS = FALSE_x000D_
)_x000D_
TABLESPACE pg_default;_x000D_
_x000D_
ALTER TABLE public.pkm_move_battle_styles_x000D_
	OWNER to postgres;</t>
  </si>
  <si>
    <t>CREATE TABLE public.pkm_move_changelog_x000D_
(_x000D_
	move_id integer,_x000D_
	changed_in_version_group_id integer,_x000D_
	type_id integer,_x000D_
	power integer,_x000D_
	pp integer,_x000D_
	accuracy integer,_x000D_
	priority integer,_x000D_
	move_target_id integer,_x000D_
	move_effect_id integer,_x000D_
	effect_chance integer_x000D_
)_x000D_
WITH (_x000D_
	OIDS = FALSE_x000D_
)_x000D_
TABLESPACE pg_default;_x000D_
_x000D_
ALTER TABLE public.pkm_move_changelog_x000D_
	OWNER to postgres;</t>
  </si>
  <si>
    <t>CREATE TABLE public.pkm_move_damage_classes_x000D_
(_x000D_
	move_damage_class_id integer NOT NULL,_x000D_
	name character varying(16),_x000D_
	name_alias character varying(16),_x000D_
	description text,_x000D_
	CONSTRAINT pk_move_damage_class_id PRIMARY KEY (move_damage_class_id) USING INDEX TABLESPACE pg_default_x000D_
)_x000D_
WITH (_x000D_
	OIDS = FALSE_x000D_
)_x000D_
TABLESPACE pg_default;_x000D_
_x000D_
ALTER TABLE public.pkm_move_damage_classes_x000D_
	OWNER to postgres;</t>
  </si>
  <si>
    <t>CREATE TABLE public.pkm_move_effect_changelog_x000D_
(_x000D_
	move_effect_changelog_id integer NOT NULL,_x000D_
	move_effect_id integer,_x000D_
	changed_in_version_group_id integer,_x000D_
	effect text,_x000D_
	CONSTRAINT pk_move_effect_changelog_id PRIMARY KEY (move_effect_changelog_id) USING INDEX TABLESPACE pg_default_x000D_
)_x000D_
WITH (_x000D_
	OIDS = FALSE_x000D_
)_x000D_
TABLESPACE pg_default;_x000D_
_x000D_
ALTER TABLE public.pkm_move_effect_changelog_x000D_
	OWNER to postgres;</t>
  </si>
  <si>
    <t>CREATE TABLE public.pkm_move_effects_x000D_
(_x000D_
	move_effect_id integer NOT NULL,_x000D_
	short_effect text,_x000D_
	effect text,_x000D_
	CONSTRAINT pk_move_effect_id PRIMARY KEY (move_effect_id) USING INDEX TABLESPACE pg_default_x000D_
)_x000D_
WITH (_x000D_
	OIDS = FALSE_x000D_
)_x000D_
TABLESPACE pg_default;_x000D_
_x000D_
ALTER TABLE public.pkm_move_effects_x000D_
	OWNER to postgres;</t>
  </si>
  <si>
    <t>CREATE TABLE public.pkm_move_flag_map_x000D_
(_x000D_
	move_id integer,_x000D_
	move_flag_id integer_x000D_
)_x000D_
WITH (_x000D_
	OIDS = FALSE_x000D_
)_x000D_
TABLESPACE pg_default;_x000D_
_x000D_
ALTER TABLE public.pkm_move_flag_map_x000D_
	OWNER to postgres;</t>
  </si>
  <si>
    <t>CREATE TABLE public.pkm_move_flags_x000D_
(_x000D_
	move_flag_id integer NOT NULL,_x000D_
	name character varying(32),_x000D_
	name_alias character varying(32),_x000D_
	description text,_x000D_
	CONSTRAINT pk_move_flag_id PRIMARY KEY (move_flag_id) USING INDEX TABLESPACE pg_default_x000D_
)_x000D_
WITH (_x000D_
	OIDS = FALSE_x000D_
)_x000D_
TABLESPACE pg_default;_x000D_
_x000D_
ALTER TABLE public.pkm_move_flags_x000D_
	OWNER to postgres;</t>
  </si>
  <si>
    <t>CREATE TABLE public.pkm_move_flavor_summaries_x000D_
(_x000D_
	move_id integer,_x000D_
	flavor_summary text_x000D_
)_x000D_
WITH (_x000D_
	OIDS = FALSE_x000D_
)_x000D_
TABLESPACE pg_default;_x000D_
_x000D_
ALTER TABLE public.pkm_move_flavor_summaries_x000D_
	OWNER to postgres;</t>
  </si>
  <si>
    <t>CREATE TABLE public.pkm_move_flavor_text_x000D_
(_x000D_
	move_id integer,_x000D_
	version_group_id integer,_x000D_
	flavor_text text_x000D_
)_x000D_
WITH (_x000D_
	OIDS = FALSE_x000D_
)_x000D_
TABLESPACE pg_default;_x000D_
_x000D_
ALTER TABLE public.pkm_move_flavor_text_x000D_
	OWNER to postgres;</t>
  </si>
  <si>
    <t>CREATE TABLE public.pkm_move_meta_x000D_
(_x000D_
	move_id integer,_x000D_
	move_meta_category_id integer,_x000D_
	move_meta_ailment_id integer,_x000D_
	min_hits integer,_x000D_
	max_hits integer,_x000D_
	min_turns integer,_x000D_
	max_turns integer,_x000D_
	drain integer,_x000D_
	healing integer,_x000D_
	crit_rate integer,_x000D_
	ailment_chance integer,_x000D_
	flinch_chance integer,_x000D_
	stat_chance integer_x000D_
)_x000D_
WITH (_x000D_
	OIDS = FALSE_x000D_
)_x000D_
TABLESPACE pg_default;_x000D_
_x000D_
ALTER TABLE public.pkm_move_meta_x000D_
	OWNER to postgres;</t>
  </si>
  <si>
    <t>CREATE TABLE public.pkm_move_meta_ailments_x000D_
(_x000D_
	move_meta_ailment_id integer NOT NULL,_x000D_
	name character varying(16),_x000D_
	name_alias character varying(16),_x000D_
	CONSTRAINT pk_move_meta_ailment_id PRIMARY KEY (move_meta_ailment_id) USING INDEX TABLESPACE pg_default_x000D_
)_x000D_
WITH (_x000D_
	OIDS = FALSE_x000D_
)_x000D_
TABLESPACE pg_default;_x000D_
_x000D_
ALTER TABLE public.pkm_move_meta_ailments_x000D_
	OWNER to postgres;</t>
  </si>
  <si>
    <t>CREATE TABLE public.pkm_move_meta_categories_x000D_
(_x000D_
	move_meta_category_id integer NOT NULL,_x000D_
	name_alias character varying(32),_x000D_
	description text,_x000D_
	CONSTRAINT pk_move_meta_category_id PRIMARY KEY (move_meta_category_id) USING INDEX TABLESPACE pg_default_x000D_
)_x000D_
WITH (_x000D_
	OIDS = FALSE_x000D_
)_x000D_
TABLESPACE pg_default;_x000D_
_x000D_
ALTER TABLE public.pkm_move_meta_categories_x000D_
	OWNER to postgres;</t>
  </si>
  <si>
    <t>CREATE TABLE public.pkm_move_meta_stat_changes_x000D_
(_x000D_
	move_id integer,_x000D_
	stat_id integer,_x000D_
	change integer_x000D_
)_x000D_
WITH (_x000D_
	OIDS = FALSE_x000D_
)_x000D_
TABLESPACE pg_default;_x000D_
_x000D_
ALTER TABLE public.pkm_move_meta_stat_changes_x000D_
	OWNER to postgres;</t>
  </si>
  <si>
    <t>CREATE TABLE public.pkm_moves_x000D_
(_x000D_
	move_id integer NOT NULL,_x000D_
	name character varying(32),_x000D_
	name_alias character varying(32),_x000D_
	generation_id integer,_x000D_
	type_id integer,_x000D_
	power integer,_x000D_
	pp integer,_x000D_
	accuracy integer,_x000D_
	priority integer,_x000D_
	move_target_id integer,_x000D_
	move_damage_class_id integer,_x000D_
	move_effect_id integer,_x000D_
	effect_chance integer,_x000D_
	contest_type_id integer,_x000D_
	contest_effect_id integer,_x000D_
	super_contest_effect_id integer,_x000D_
	CONSTRAINT pk_move_id PRIMARY KEY (move_id) USING INDEX TABLESPACE pg_default_x000D_
)_x000D_
WITH (_x000D_
	OIDS = FALSE_x000D_
)_x000D_
TABLESPACE pg_default;_x000D_
_x000D_
ALTER TABLE public.pkm_moves_x000D_
	OWNER to postgres;</t>
  </si>
  <si>
    <t>CREATE TABLE public.pkm_move_targets_x000D_
(_x000D_
	move_target_id integer,_x000D_
	name character varying(32),_x000D_
	name_alias character varying(32),_x000D_
	description text_x000D_
)_x000D_
WITH (_x000D_
	OIDS = FALSE_x000D_
)_x000D_
TABLESPACE pg_default;_x000D_
_x000D_
ALTER TABLE public.pkm_move_targets_x000D_
	OWNER to postgres;</t>
  </si>
  <si>
    <t>CREATE TABLE public.pkm_nature_battle_style_preferences_x000D_
(_x000D_
	nature_id integer,_x000D_
	move_battle_style_id integer,_x000D_
	low_hp_preference integer,_x000D_
	high_hp_preference integer_x000D_
)_x000D_
WITH (_x000D_
	OIDS = FALSE_x000D_
)_x000D_
TABLESPACE pg_default;_x000D_
_x000D_
ALTER TABLE public.pkm_nature_battle_style_preferences_x000D_
	OWNER to postgres;</t>
  </si>
  <si>
    <t>CREATE TABLE public.pkm_natures_x000D_
(_x000D_
	nature_id integer NOT NULL,_x000D_
	name character varying(16),_x000D_
	name_alias character varying(16),_x000D_
	decreased_stat_id integer,_x000D_
	increased_stat_id integer,_x000D_
	hates_flavor_id integer,_x000D_
	likes_flavor_id integer,_x000D_
	game_index integer,_x000D_
	CONSTRAINT pk_nature_id PRIMARY KEY (nature_id) USING INDEX TABLESPACE pg_default_x000D_
)_x000D_
WITH (_x000D_
	OIDS = FALSE_x000D_
)_x000D_
TABLESPACE pg_default;_x000D_
_x000D_
ALTER TABLE public.pkm_natures_x000D_
	OWNER to postgres;</t>
  </si>
  <si>
    <t>CREATE TABLE public.pkm_nature_pokeathlon_stats_x000D_
(_x000D_
	nature_id integer,_x000D_
	pokeathlon_stat_id integer,_x000D_
	max_change integer_x000D_
)_x000D_
WITH (_x000D_
	OIDS = FALSE_x000D_
)_x000D_
TABLESPACE pg_default;_x000D_
_x000D_
ALTER TABLE public.pkm_nature_pokeathlon_stats_x000D_
	OWNER to postgres;</t>
  </si>
  <si>
    <t>CREATE TABLE public.pkm_pal_park_x000D_
(_x000D_
	pokemon_species_id integer,_x000D_
	pal_park_area_id integer,_x000D_
	base_score integer,_x000D_
	rate integer_x000D_
)_x000D_
WITH (_x000D_
	OIDS = FALSE_x000D_
)_x000D_
TABLESPACE pg_default;_x000D_
_x000D_
ALTER TABLE public.pkm_pal_park_x000D_
	OWNER to postgres;</t>
  </si>
  <si>
    <t>CREATE TABLE public.pkm_pal_park_areas_x000D_
(_x000D_
	pal_park_area_id integer NOT NULL,_x000D_
	name character varying(16),_x000D_
	name_alias character varying(16),_x000D_
	CONSTRAINT pk_pal_park_area_id PRIMARY KEY (pal_park_area_id) USING INDEX TABLESPACE pg_default_x000D_
)_x000D_
WITH (_x000D_
	OIDS = FALSE_x000D_
)_x000D_
TABLESPACE pg_default;_x000D_
_x000D_
ALTER TABLE public.pkm_pal_park_areas_x000D_
	OWNER to postgres;</t>
  </si>
  <si>
    <t>CREATE TABLE public.pkm_pokeathlon_stats_x000D_
(_x000D_
	pokeathlon_stat_id integer NOT NULL,_x000D_
	name character varying(16),_x000D_
	name_alias character varying(16),_x000D_
	CONSTRAINT pk_pokeathlon_stat_id PRIMARY KEY (pokeathlon_stat_id) USING INDEX TABLESPACE pg_default_x000D_
)_x000D_
WITH (_x000D_
	OIDS = FALSE_x000D_
)_x000D_
TABLESPACE pg_default;_x000D_
_x000D_
ALTER TABLE public.pkm_pokeathlon_stats_x000D_
	OWNER to postgres;</t>
  </si>
  <si>
    <t>CREATE TABLE public.pkm_pokedexes_x000D_
(_x000D_
	pokedex_id integer NOT NULL,_x000D_
	region_id integer,_x000D_
	name character varying(16),_x000D_
	name_alias character varying(16),_x000D_
	description text,_x000D_
	is_main_series boolean DEFAULT TRUE,_x000D_
	CONSTRAINT pk_pokedex_id PRIMARY KEY (pokedex_id) USING INDEX TABLESPACE pg_default_x000D_
)_x000D_
WITH (_x000D_
	OIDS = FALSE_x000D_
)_x000D_
TABLESPACE pg_default;_x000D_
_x000D_
ALTER TABLE public.pkm_pokedexes_x000D_
	OWNER to postgres;</t>
  </si>
  <si>
    <t>CREATE TABLE public.pkm_pokedex_version_groups_x000D_
(_x000D_
	pokedex_id integer,_x000D_
	version_group_id integer_x000D_
)_x000D_
WITH (_x000D_
	OIDS = FALSE_x000D_
)_x000D_
TABLESPACE pg_default;_x000D_
_x000D_
ALTER TABLE public.pkm_pokedex_version_groups_x000D_
	OWNER to postgres;</t>
  </si>
  <si>
    <t>CREATE TABLE public.pkm_pokemon_x000D_
(_x000D_
	pokemon_id integer NOT NULL,_x000D_
	name_alias character varying(32),_x000D_
	pokemon_species_id integer,_x000D_
	height integer,_x000D_
	weight integer,_x000D_
	base_experience integer,_x000D_
	order_no integer,_x000D_
	is_default boolean DEFAULT TRUE,_x000D_
	CONSTRAINT pk_pokemon_id PRIMARY KEY (pokemon_id) USING INDEX TABLESPACE pg_default_x000D_
)_x000D_
WITH (_x000D_
	OIDS = FALSE_x000D_
)_x000D_
TABLESPACE pg_default;_x000D_
_x000D_
ALTER TABLE public.pkm_pokemon_x000D_
	OWNER to postgres;</t>
  </si>
  <si>
    <t>CREATE TABLE public.pkm_pokemon_abilities_x000D_
(_x000D_
	pokemon_id integer,_x000D_
	ability_id integer,_x000D_
	is_hidden boolean DEFAULT FALSE,_x000D_
	slot integer_x000D_
)_x000D_
WITH (_x000D_
	OIDS = FALSE_x000D_
)_x000D_
TABLESPACE pg_default;_x000D_
_x000D_
ALTER TABLE public.pkm_pokemon_abilities_x000D_
	OWNER to postgres;</t>
  </si>
  <si>
    <t>CREATE TABLE public.pkm_pokemon_colors_x000D_
(_x000D_
	pokemon_color_id integer NOT NULL,_x000D_
	name character varying(16),_x000D_
	name_alias character varying(16),_x000D_
	CONSTRAINT pk_pokemon_color_id PRIMARY KEY (pokemon_color_id) USING INDEX TABLESPACE pg_default_x000D_
)_x000D_
WITH (_x000D_
	OIDS = FALSE_x000D_
)_x000D_
TABLESPACE pg_default;_x000D_
_x000D_
ALTER TABLE public.pkm_pokemon_colors_x000D_
	OWNER to postgres;</t>
  </si>
  <si>
    <t>CREATE TABLE public.pkm_pokemon_dex_numbers_x000D_
(_x000D_
	pokemon_species_id integer,_x000D_
	pokedex_id integer,_x000D_
	pokedex_number integer_x000D_
)_x000D_
WITH (_x000D_
	OIDS = FALSE_x000D_
)_x000D_
TABLESPACE pg_default;_x000D_
_x000D_
ALTER TABLE public.pkm_pokemon_dex_numbers_x000D_
	OWNER to postgres;</t>
  </si>
  <si>
    <t>CREATE TABLE public.pkm_pokemon_egg_groups_x000D_
(_x000D_
	pokemon_species_id integer,_x000D_
	egg_group_id integer_x000D_
)_x000D_
WITH (_x000D_
	OIDS = FALSE_x000D_
)_x000D_
TABLESPACE pg_default;_x000D_
_x000D_
ALTER TABLE public.pkm_pokemon_egg_groups_x000D_
	OWNER to postgres;</t>
  </si>
  <si>
    <t>CREATE TABLE public.pkm_pokemon_evolution_x000D_
(_x000D_
	pokemon_evolution_id integer NOT NULL,_x000D_
	evolved_species_id integer,_x000D_
	evolution_trigger_id integer,_x000D_
	trigger_item_id integer,_x000D_
	minimum_level integer,_x000D_
	gender_id integer,_x000D_
	location_id integer,_x000D_
	held_item_id integer,_x000D_
	time_of_day character varying(16),_x000D_
	known_move_id integer,_x000D_
	known_move_type_id integer,_x000D_
	minimum_happiness integer,_x000D_
	minimum_beauty integer,_x000D_
	minimum_affection integer,_x000D_
	relative_physical_stats integer,_x000D_
	party_species_id integer,_x000D_
	party_type_id integer,_x000D_
	trade_species_id integer,_x000D_
	needs_overworld_rain boolean DEFAULT FALSE,_x000D_
	turn_upside_down boolean DEFAULT FALSE,_x000D_
	CONSTRAINT pk_pokemon_evolution_id PRIMARY KEY (pokemon_evolution_id) USING INDEX TABLESPACE pg_default_x000D_
)_x000D_
WITH (_x000D_
	OIDS = FALSE_x000D_
)_x000D_
TABLESPACE pg_default;_x000D_
_x000D_
ALTER TABLE public.pkm_pokemon_evolution_x000D_
	OWNER to postgres;</t>
  </si>
  <si>
    <t>CREATE TABLE public.pkm_pokemon_form_generations_x000D_
(_x000D_
	pokemon_form_id integer,_x000D_
	generation_id integer,_x000D_
	game_index integer_x000D_
)_x000D_
WITH (_x000D_
	OIDS = FALSE_x000D_
)_x000D_
TABLESPACE pg_default;_x000D_
_x000D_
ALTER TABLE public.pkm_pokemon_form_generations_x000D_
	OWNER to postgres;</t>
  </si>
  <si>
    <t>CREATE TABLE public.pkm_pokemon_forms_x000D_
(_x000D_
	pokemon_form_id integer NOT NULL,_x000D_
	pokemon_name character varying(32),_x000D_
	pokemon_name_alias character varying(32),_x000D_
	form_name character varying(32),_x000D_
	form_name_alias character varying(32),_x000D_
	pokemon_id integer,_x000D_
	introduced_in_version_group_id integer,_x000D_
	is_default boolean DEFAULT TRUE,_x000D_
	is_battle_only boolean DEFAULT FALSE,_x000D_
	is_mega boolean DEFAULT FALSE,_x000D_
	form_order integer,_x000D_
	order_no integer,_x000D_
	CONSTRAINT pk_pokemon_form_id PRIMARY KEY (pokemon_form_id) USING INDEX TABLESPACE pg_default_x000D_
)_x000D_
WITH (_x000D_
	OIDS = FALSE_x000D_
)_x000D_
TABLESPACE pg_default;_x000D_
_x000D_
ALTER TABLE public.pkm_pokemon_forms_x000D_
	OWNER to postgres;</t>
  </si>
  <si>
    <t>CREATE TABLE public.pkm_pokemon_form_pokeathlon_stats_x000D_
(_x000D_
	pokemon_form_id integer,_x000D_
	pokeathlon_stat_id integer,_x000D_
	minimum_stat integer,_x000D_
	base_stat integer,_x000D_
	maximum_stat integer_x000D_
)_x000D_
WITH (_x000D_
	OIDS = FALSE_x000D_
)_x000D_
TABLESPACE pg_default;_x000D_
_x000D_
ALTER TABLE public.pkm_pokemon_form_pokeathlon_stats_x000D_
	OWNER to postgres;</t>
  </si>
  <si>
    <t>CREATE TABLE public.pkm_pokemon_game_indices_x000D_
(_x000D_
	pokemon_id integer,_x000D_
	version_id integer,_x000D_
	game_index integer_x000D_
)_x000D_
WITH (_x000D_
	OIDS = FALSE_x000D_
)_x000D_
TABLESPACE pg_default;_x000D_
_x000D_
ALTER TABLE public.pkm_pokemon_game_indices_x000D_
	OWNER to postgres;</t>
  </si>
  <si>
    <t>CREATE TABLE public.pkm_pokemon_habitats_x000D_
(_x000D_
	pokemon_habitat_id integer NOT NULL,_x000D_
	name character varying(16),_x000D_
	name_alias character varying(16),_x000D_
	CONSTRAINT pk_pokemon_habitat_id PRIMARY KEY (pokemon_habitat_id) USING INDEX TABLESPACE pg_default_x000D_
)_x000D_
WITH (_x000D_
	OIDS = FALSE_x000D_
)_x000D_
TABLESPACE pg_default;_x000D_
_x000D_
ALTER TABLE public.pkm_pokemon_habitats_x000D_
	OWNER to postgres;</t>
  </si>
  <si>
    <t>CREATE TABLE public.pkm_pokemon_items_x000D_
(_x000D_
	pokemon_id integer,_x000D_
	version_id integer,_x000D_
	item_id integer,_x000D_
	rarity integer_x000D_
)_x000D_
WITH (_x000D_
	OIDS = FALSE_x000D_
)_x000D_
TABLESPACE pg_default;_x000D_
_x000D_
ALTER TABLE public.pkm_pokemon_items_x000D_
	OWNER to postgres;</t>
  </si>
  <si>
    <t>CREATE TABLE public.pkm_pokemon_move_methods_x000D_
(_x000D_
	pokemon_move_method_id integer NOT NULL,_x000D_
	name character varying(32),_x000D_
	name_alias character varying(32),_x000D_
	description text,_x000D_
	CONSTRAINT pk_pokemon_move_method_id PRIMARY KEY (pokemon_move_method_id) USING INDEX TABLESPACE pg_default_x000D_
)_x000D_
WITH (_x000D_
	OIDS = FALSE_x000D_
)_x000D_
TABLESPACE pg_default;_x000D_
_x000D_
ALTER TABLE public.pkm_pokemon_move_methods_x000D_
	OWNER to postgres;</t>
  </si>
  <si>
    <t>CREATE TABLE public.pkm_pokemon_moves_x000D_
(_x000D_
	pokemon_id integer,_x000D_
	version_group_id integer,_x000D_
	move_id integer,_x000D_
	pokemon_move_method_id integer,_x000D_
	level integer,_x000D_
	order_no integer_x000D_
)_x000D_
WITH (_x000D_
	OIDS = FALSE_x000D_
)_x000D_
TABLESPACE pg_default;_x000D_
_x000D_
ALTER TABLE public.pkm_pokemon_moves_x000D_
	OWNER to postgres;</t>
  </si>
  <si>
    <t>CREATE TABLE public.pkm_pokemon_shapes_x000D_
(_x000D_
	pokemon_shape_id integer NOT NULL,_x000D_
	name character varying(16),_x000D_
	name_alias character varying(16),_x000D_
	name_awesome character varying(16),_x000D_
	description text,_x000D_
	CONSTRAINT pk_pokemon_shape_id PRIMARY KEY (pokemon_shape_id) USING INDEX TABLESPACE pg_default_x000D_
)_x000D_
WITH (_x000D_
	OIDS = FALSE_x000D_
)_x000D_
TABLESPACE pg_default;_x000D_
_x000D_
ALTER TABLE public.pkm_pokemon_shapes_x000D_
	OWNER to postgres;</t>
  </si>
  <si>
    <t>CREATE TABLE public.pkm_pokemon_species_x000D_
(_x000D_
	pokemon_species_id integer NOT NULL,_x000D_
	name character varying(16),_x000D_
	name_alias character varying(16),_x000D_
	name_japanese character varying(16),_x000D_
	genus character varying(32),_x000D_
	generation_id integer,_x000D_
	evolves_from_species_id integer,_x000D_
	evolution_chain_id integer,_x000D_
	pokemon_color_id integer,_x000D_
	pokemon_shape_id integer,_x000D_
	pokemon_habitat_id integer,_x000D_
	gender_rate integer,_x000D_
	capture_rate integer,_x000D_
	base_happiness integer,_x000D_
	is_baby boolean,_x000D_
	hatch_counter integer,_x000D_
	has_gender_differences boolean,_x000D_
	growth_rate_id integer,_x000D_
	forms_switchable boolean,_x000D_
	order_no integer,_x000D_
	conquest_order integer,_x000D_
	form_description text,_x000D_
	CONSTRAINT pk_pokemon_species_id PRIMARY KEY (pokemon_species_id) USING INDEX TABLESPACE pg_default_x000D_
)_x000D_
WITH (_x000D_
	OIDS = FALSE_x000D_
)_x000D_
TABLESPACE pg_default;_x000D_
_x000D_
ALTER TABLE public.pkm_pokemon_species_x000D_
	OWNER to postgres;</t>
  </si>
  <si>
    <t>CREATE TABLE public.pkm_pokemon_species_flavor_summaries_x000D_
(_x000D_
	pokemon_species_id integer,_x000D_
	flavor_summary text_x000D_
)_x000D_
WITH (_x000D_
	OIDS = FALSE_x000D_
)_x000D_
TABLESPACE pg_default;_x000D_
_x000D_
ALTER TABLE public.pkm_pokemon_species_flavor_summaries_x000D_
	OWNER to postgres;</t>
  </si>
  <si>
    <t>CREATE TABLE public.pkm_pokemon_species_flavor_text_x000D_
(_x000D_
	pokemon_species_id integer,_x000D_
	version_id integer,_x000D_
	flavor_text text_x000D_
)_x000D_
WITH (_x000D_
	OIDS = FALSE_x000D_
)_x000D_
TABLESPACE pg_default;_x000D_
_x000D_
ALTER TABLE public.pkm_pokemon_species_flavor_text_x000D_
	OWNER to postgres;</t>
  </si>
  <si>
    <t>CREATE TABLE public.pkm_pokemon_stats_x000D_
(_x000D_
	pokemon_id integer,_x000D_
	stat_id integer,_x000D_
	base_stat integer,_x000D_
	effort integer_x000D_
)_x000D_
WITH (_x000D_
	OIDS = FALSE_x000D_
)_x000D_
TABLESPACE pg_default;_x000D_
_x000D_
ALTER TABLE public.pkm_pokemon_stats_x000D_
	OWNER to postgres;</t>
  </si>
  <si>
    <t>CREATE TABLE public.pkm_pokemon_types_x000D_
(_x000D_
	pokemon_id integer,_x000D_
	type_id integer,_x000D_
	slot integer_x000D_
)_x000D_
WITH (_x000D_
	OIDS = FALSE_x000D_
)_x000D_
TABLESPACE pg_default;_x000D_
_x000D_
ALTER TABLE public.pkm_pokemon_types_x000D_
	OWNER to postgres;</t>
  </si>
  <si>
    <t>CREATE TABLE public.pkm_stats_x000D_
(_x000D_
	stat_id integer NOT NULL,_x000D_
	move_damage_class_id integer,_x000D_
	name character varying(16),_x000D_
	name_alias character varying(16),_x000D_
	is_battle_only boolean DEFAULT FALSE,_x000D_
	game_index integer,_x000D_
	CONSTRAINT pk_stat_id PRIMARY KEY (stat_id) USING INDEX TABLESPACE pg_default_x000D_
)_x000D_
WITH (_x000D_
	OIDS = FALSE_x000D_
)_x000D_
TABLESPACE pg_default;_x000D_
_x000D_
ALTER TABLE public.pkm_stats_x000D_
	OWNER to postgres;</t>
  </si>
  <si>
    <t>CREATE TABLE public.pkm_super_contest_combos_x000D_
(_x000D_
	first_move_id integer,_x000D_
	second_move_id integer_x000D_
)_x000D_
WITH (_x000D_
	OIDS = FALSE_x000D_
)_x000D_
TABLESPACE pg_default;_x000D_
_x000D_
ALTER TABLE public.pkm_super_contest_combos_x000D_
	OWNER to postgres;</t>
  </si>
  <si>
    <t>CREATE TABLE public.pkm_super_contest_effects_x000D_
(_x000D_
	super_contest_effect_id integer NOT NULL,_x000D_
	appeal integer,_x000D_
	flavor_text text,_x000D_
	CONSTRAINT pk_super_contest_effect_id PRIMARY KEY (super_contest_effect_id) USING INDEX TABLESPACE pg_default_x000D_
)_x000D_
WITH (_x000D_
	OIDS = FALSE_x000D_
)_x000D_
TABLESPACE pg_default;_x000D_
_x000D_
ALTER TABLE public.pkm_super_contest_effects_x000D_
	OWNER to postgres;</t>
  </si>
  <si>
    <t>CREATE TABLE public.pkm_type_efficacy_x000D_
(_x000D_
	damage_type_id integer,_x000D_
	target_type_id integer,_x000D_
	damage_factor integer_x000D_
)_x000D_
WITH (_x000D_
	OIDS = FALSE_x000D_
)_x000D_
TABLESPACE pg_default;_x000D_
_x000D_
ALTER TABLE public.pkm_type_efficacy_x000D_
	OWNER to postgres;</t>
  </si>
  <si>
    <t>CREATE TABLE public.pkm_type_game_indices_x000D_
(_x000D_
	type_id integer,_x000D_
	generation_id integer,_x000D_
	game_index integer_x000D_
)_x000D_
WITH (_x000D_
	OIDS = FALSE_x000D_
)_x000D_
TABLESPACE pg_default;_x000D_
_x000D_
ALTER TABLE public.pkm_type_game_indices_x000D_
	OWNER to postgres;</t>
  </si>
  <si>
    <t>CREATE TABLE public.pkm_types_x000D_
(_x000D_
	type_id integer NOT NULL,_x000D_
	name character varying(16),_x000D_
	name_alias character varying(16),_x000D_
	generation_id integer,_x000D_
	move_damage_class_id integer,_x000D_
	CONSTRAINT pk_type_id PRIMARY KEY (type_id) USING INDEX TABLESPACE pg_default_x000D_
)_x000D_
WITH (_x000D_
	OIDS = FALSE_x000D_
)_x000D_
TABLESPACE pg_default;_x000D_
_x000D_
ALTER TABLE public.pkm_types_x000D_
	OWNER to postgres;</t>
  </si>
  <si>
    <t>CREATE TABLE public.pkm_version_group_pokemon_move_methods_x000D_
(_x000D_
	version_group_id integer,_x000D_
	pokemon_move_method_id integer_x000D_
)_x000D_
WITH (_x000D_
	OIDS = FALSE_x000D_
)_x000D_
TABLESPACE pg_default;_x000D_
_x000D_
ALTER TABLE public.pkm_version_group_pokemon_move_methods_x000D_
	OWNER to postgres;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</si>
</sst>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2" xfId="0" applyFont="1" applyBorder="1" applyAlignment="1">
      <alignment vertical="center"/>
    </xf>
    <xf numFmtId="14" fontId="0" fillId="0" borderId="3" xfId="0" quotePrefix="1" applyNumberFormat="1" applyBorder="1" applyAlignment="1">
      <alignment vertical="center"/>
    </xf>
    <xf numFmtId="0" fontId="0" fillId="0" borderId="0" xfId="0" applyAlignment="1">
      <alignment vertical="center"/>
    </xf>
    <xf numFmtId="0" fontId="1" fillId="0" borderId="4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1" fillId="0" borderId="5" xfId="0" applyFont="1" applyBorder="1" applyAlignment="1">
      <alignment vertical="center"/>
    </xf>
    <xf numFmtId="0" fontId="0" fillId="0" borderId="6" xfId="0" quotePrefix="1" applyBorder="1" applyAlignment="1">
      <alignment vertical="center"/>
    </xf>
    <xf numFmtId="0" fontId="0" fillId="0" borderId="0" xfId="0" quotePrefix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1" xfId="0" applyFont="1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worksheet" Target="worksheets/sheet110.xml"/><Relationship Id="rId115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tabSelected="1" workbookViewId="0"/>
  </sheetViews>
  <sheetFormatPr defaultRowHeight="15" x14ac:dyDescent="0.25"/>
  <cols>
    <col min="1" max="1" width="11.28515625" style="5" bestFit="1" customWidth="1"/>
    <col min="2" max="2" width="14.28515625" style="5" bestFit="1" customWidth="1"/>
    <col min="3" max="3" width="16.140625" style="5" bestFit="1" customWidth="1"/>
    <col min="4" max="4" width="13.28515625" style="5" bestFit="1" customWidth="1"/>
    <col min="5" max="5" width="9.7109375" style="5" bestFit="1" customWidth="1"/>
    <col min="6" max="6" width="11.42578125" style="5" bestFit="1" customWidth="1"/>
    <col min="7" max="7" width="11.28515625" style="5" bestFit="1" customWidth="1"/>
    <col min="8" max="8" width="24.7109375" style="5" bestFit="1" customWidth="1"/>
    <col min="9" max="16384" width="9.140625" style="5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</row>
    <row r="2" spans="1:16" x14ac:dyDescent="0.25">
      <c r="A2" s="6" t="s">
        <v>3</v>
      </c>
      <c r="B2" s="7" t="s">
        <v>14</v>
      </c>
      <c r="C2" s="7"/>
      <c r="D2" s="8" t="s">
        <v>4</v>
      </c>
      <c r="E2" s="9"/>
    </row>
    <row r="3" spans="1:16" x14ac:dyDescent="0.25">
      <c r="E3" s="10"/>
    </row>
    <row r="4" spans="1:16" ht="5.0999999999999996" customHeight="1" x14ac:dyDescent="0.25">
      <c r="E4" s="10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399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2" si="0">ROW()-5</f>
        <v>1</v>
      </c>
      <c r="B6" s="22" t="s">
        <v>16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20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22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22" t="s">
        <v>23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22" t="s">
        <v>24</v>
      </c>
      <c r="C12" s="15" t="s">
        <v>95</v>
      </c>
      <c r="D12" s="16"/>
      <c r="E12" s="16"/>
      <c r="F12" s="16"/>
      <c r="G12" s="16"/>
      <c r="H12" s="17" t="s">
        <v>103</v>
      </c>
      <c r="J12" s="30"/>
      <c r="K12" s="30"/>
      <c r="L12" s="30"/>
      <c r="M12" s="30"/>
      <c r="N12" s="30"/>
      <c r="O12" s="30"/>
      <c r="P12" s="30"/>
    </row>
    <row r="13" spans="1:16" x14ac:dyDescent="0.25">
      <c r="A13" s="27"/>
      <c r="B13" s="7"/>
      <c r="C13" s="7"/>
      <c r="D13" s="19"/>
      <c r="E13" s="20"/>
      <c r="F13" s="20"/>
      <c r="G13" s="20"/>
      <c r="H13" s="21"/>
      <c r="J13" s="30"/>
      <c r="K13" s="30"/>
      <c r="L13" s="30"/>
      <c r="M13" s="30"/>
      <c r="N13" s="30"/>
      <c r="O13" s="30"/>
      <c r="P13" s="30"/>
    </row>
  </sheetData>
  <mergeCells count="1">
    <mergeCell ref="J5:P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8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8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400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9" si="0">ROW()-5</f>
        <v>1</v>
      </c>
      <c r="B6" s="22" t="s">
        <v>26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29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16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28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22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9"/>
  <sheetViews>
    <sheetView workbookViewId="0"/>
  </sheetViews>
  <sheetFormatPr defaultRowHeight="15" x14ac:dyDescent="0.25"/>
  <cols>
    <col min="1" max="1" width="11.28515625" bestFit="1" customWidth="1"/>
    <col min="2" max="2" width="22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7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412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8" si="0">ROW()-5</f>
        <v>1</v>
      </c>
      <c r="B6" s="22" t="s">
        <v>16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32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16"/>
  <sheetViews>
    <sheetView workbookViewId="0"/>
  </sheetViews>
  <sheetFormatPr defaultRowHeight="15" x14ac:dyDescent="0.25"/>
  <cols>
    <col min="1" max="1" width="11.28515625" bestFit="1" customWidth="1"/>
    <col min="2" max="2" width="19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9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401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5" si="0">ROW()-5</f>
        <v>1</v>
      </c>
      <c r="B6" s="22" t="s">
        <v>34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44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35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43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36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37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22" t="s">
        <v>38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22" t="s">
        <v>39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22" t="s">
        <v>40</v>
      </c>
      <c r="C13" s="15" t="s">
        <v>13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 t="shared" si="0"/>
        <v>9</v>
      </c>
      <c r="B14" s="22" t="s">
        <v>41</v>
      </c>
      <c r="C14" s="15" t="s">
        <v>13</v>
      </c>
      <c r="D14" s="16"/>
      <c r="E14" s="16"/>
      <c r="F14" s="16"/>
      <c r="G14" s="16"/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 t="shared" si="0"/>
        <v>10</v>
      </c>
      <c r="B15" s="22" t="s">
        <v>42</v>
      </c>
      <c r="C15" s="15" t="s">
        <v>13</v>
      </c>
      <c r="D15" s="16"/>
      <c r="E15" s="16"/>
      <c r="F15" s="16"/>
      <c r="G15" s="16"/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8"/>
      <c r="B16" s="7"/>
      <c r="C16" s="7"/>
      <c r="D16" s="19"/>
      <c r="E16" s="20"/>
      <c r="F16" s="20"/>
      <c r="G16" s="20"/>
      <c r="H16" s="21"/>
      <c r="J16" s="30"/>
      <c r="K16" s="30"/>
      <c r="L16" s="30"/>
      <c r="M16" s="30"/>
      <c r="N16" s="30"/>
      <c r="O16" s="30"/>
      <c r="P16" s="30"/>
    </row>
  </sheetData>
  <mergeCells count="1">
    <mergeCell ref="J5:P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9"/>
  <sheetViews>
    <sheetView workbookViewId="0"/>
  </sheetViews>
  <sheetFormatPr defaultRowHeight="15" x14ac:dyDescent="0.25"/>
  <cols>
    <col min="1" max="1" width="11.28515625" bestFit="1" customWidth="1"/>
    <col min="2" max="2" width="19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0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45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43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46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9"/>
  <sheetViews>
    <sheetView workbookViewId="0"/>
  </sheetViews>
  <sheetFormatPr defaultRowHeight="15" x14ac:dyDescent="0.25"/>
  <cols>
    <col min="1" max="1" width="11.28515625" bestFit="1" customWidth="1"/>
    <col min="2" max="2" width="17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47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34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48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49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8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3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50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51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55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52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53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3" t="s">
        <v>54</v>
      </c>
      <c r="C9" s="15" t="s">
        <v>18</v>
      </c>
      <c r="D9" s="25">
        <v>256</v>
      </c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"/>
  <sheetViews>
    <sheetView workbookViewId="0"/>
  </sheetViews>
  <sheetFormatPr defaultRowHeight="15" x14ac:dyDescent="0.25"/>
  <cols>
    <col min="1" max="1" width="11.28515625" bestFit="1" customWidth="1"/>
    <col min="2" max="2" width="23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3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56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57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58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256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256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8"/>
  <sheetViews>
    <sheetView workbookViewId="0"/>
  </sheetViews>
  <sheetFormatPr defaultRowHeight="15" x14ac:dyDescent="0.25"/>
  <cols>
    <col min="1" max="1" width="11.28515625" bestFit="1" customWidth="1"/>
    <col min="2" max="2" width="31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8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59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405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406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60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4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9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61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62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64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63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9"/>
  <sheetViews>
    <sheetView workbookViewId="0"/>
  </sheetViews>
  <sheetFormatPr defaultRowHeight="15" x14ac:dyDescent="0.25"/>
  <cols>
    <col min="1" max="1" width="11.28515625" bestFit="1" customWidth="1"/>
    <col min="2" max="2" width="24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7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65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66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67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68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13"/>
  <sheetViews>
    <sheetView workbookViewId="0"/>
  </sheetViews>
  <sheetFormatPr defaultRowHeight="15" x14ac:dyDescent="0.25"/>
  <cols>
    <col min="1" max="1" width="11.28515625" bestFit="1" customWidth="1"/>
    <col min="2" max="2" width="31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5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69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415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2" si="0">ROW()-5</f>
        <v>1</v>
      </c>
      <c r="B6" s="22" t="s">
        <v>70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71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72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73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74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22" t="s">
        <v>75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22" t="s">
        <v>76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8"/>
      <c r="B13" s="7"/>
      <c r="C13" s="7"/>
      <c r="D13" s="19"/>
      <c r="E13" s="20"/>
      <c r="F13" s="20"/>
      <c r="G13" s="20"/>
      <c r="H13" s="21"/>
      <c r="J13" s="30"/>
      <c r="K13" s="30"/>
      <c r="L13" s="30"/>
      <c r="M13" s="30"/>
      <c r="N13" s="30"/>
      <c r="O13" s="30"/>
      <c r="P13" s="30"/>
    </row>
  </sheetData>
  <mergeCells count="1">
    <mergeCell ref="J5:P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12"/>
  <sheetViews>
    <sheetView workbookViewId="0"/>
  </sheetViews>
  <sheetFormatPr defaultRowHeight="15" x14ac:dyDescent="0.25"/>
  <cols>
    <col min="1" max="1" width="11.28515625" bestFit="1" customWidth="1"/>
    <col min="2" max="2" width="34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4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77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409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1" si="0">ROW()-5</f>
        <v>1</v>
      </c>
      <c r="B6" s="22" t="s">
        <v>76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79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78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20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22" t="s">
        <v>22</v>
      </c>
      <c r="C11" s="15" t="s">
        <v>21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8"/>
      <c r="B12" s="7"/>
      <c r="C12" s="7"/>
      <c r="D12" s="19"/>
      <c r="E12" s="20"/>
      <c r="F12" s="20"/>
      <c r="G12" s="20"/>
      <c r="H12" s="21"/>
      <c r="J12" s="30"/>
      <c r="K12" s="30"/>
      <c r="L12" s="30"/>
      <c r="M12" s="30"/>
      <c r="N12" s="30"/>
      <c r="O12" s="30"/>
      <c r="P12" s="30"/>
    </row>
  </sheetData>
  <mergeCells count="1">
    <mergeCell ref="J5:P1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9"/>
  <sheetViews>
    <sheetView workbookViewId="0"/>
  </sheetViews>
  <sheetFormatPr defaultRowHeight="15" x14ac:dyDescent="0.25"/>
  <cols>
    <col min="1" max="1" width="11.28515625" bestFit="1" customWidth="1"/>
    <col min="2" max="2" width="27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7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80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74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81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20</v>
      </c>
      <c r="C7" s="15" t="s">
        <v>21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22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11"/>
  <sheetViews>
    <sheetView workbookViewId="0"/>
  </sheetViews>
  <sheetFormatPr defaultRowHeight="15" x14ac:dyDescent="0.25"/>
  <cols>
    <col min="1" max="1" width="11.28515625" bestFit="1" customWidth="1"/>
    <col min="2" max="2" width="27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7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82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75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85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83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22" t="s">
        <v>84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9"/>
  <sheetViews>
    <sheetView workbookViewId="0"/>
  </sheetViews>
  <sheetFormatPr defaultRowHeight="15" x14ac:dyDescent="0.25"/>
  <cols>
    <col min="1" max="1" width="11.28515625" bestFit="1" customWidth="1"/>
    <col min="2" max="2" width="32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0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86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87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16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14"/>
  <sheetViews>
    <sheetView workbookViewId="0"/>
  </sheetViews>
  <sheetFormatPr defaultRowHeight="15" x14ac:dyDescent="0.25"/>
  <cols>
    <col min="1" max="1" width="11.28515625" bestFit="1" customWidth="1"/>
    <col min="2" max="2" width="33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2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88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417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3" si="0">ROW()-5</f>
        <v>1</v>
      </c>
      <c r="B6" s="22" t="s">
        <v>89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90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91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92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62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22" t="s">
        <v>93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22" t="s">
        <v>35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22" t="s">
        <v>94</v>
      </c>
      <c r="C13" s="15" t="s">
        <v>95</v>
      </c>
      <c r="D13" s="16"/>
      <c r="E13" s="16"/>
      <c r="F13" s="16"/>
      <c r="G13" s="16"/>
      <c r="H13" s="17" t="s">
        <v>96</v>
      </c>
      <c r="J13" s="30"/>
      <c r="K13" s="30"/>
      <c r="L13" s="30"/>
      <c r="M13" s="30"/>
      <c r="N13" s="30"/>
      <c r="O13" s="30"/>
      <c r="P13" s="30"/>
    </row>
    <row r="14" spans="1:16" x14ac:dyDescent="0.25">
      <c r="A14" s="18"/>
      <c r="B14" s="7"/>
      <c r="C14" s="7"/>
      <c r="D14" s="19"/>
      <c r="E14" s="20"/>
      <c r="F14" s="20"/>
      <c r="G14" s="20"/>
      <c r="H14" s="21"/>
      <c r="J14" s="30"/>
      <c r="K14" s="30"/>
      <c r="L14" s="30"/>
      <c r="M14" s="30"/>
      <c r="N14" s="30"/>
      <c r="O14" s="30"/>
      <c r="P14" s="30"/>
    </row>
  </sheetData>
  <mergeCells count="1">
    <mergeCell ref="J5:P1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8"/>
  <sheetViews>
    <sheetView workbookViewId="0"/>
  </sheetViews>
  <sheetFormatPr defaultRowHeight="15" x14ac:dyDescent="0.25"/>
  <cols>
    <col min="1" max="1" width="11.28515625" bestFit="1" customWidth="1"/>
    <col min="2" max="2" width="31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9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97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70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9"/>
  <sheetViews>
    <sheetView workbookViewId="0"/>
  </sheetViews>
  <sheetFormatPr defaultRowHeight="15" x14ac:dyDescent="0.25"/>
  <cols>
    <col min="1" max="1" width="11.28515625" bestFit="1" customWidth="1"/>
    <col min="2" max="2" width="29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7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98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99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3" t="s">
        <v>100</v>
      </c>
      <c r="C8" s="15" t="s">
        <v>13</v>
      </c>
      <c r="D8" s="25"/>
      <c r="E8" s="25"/>
      <c r="F8" s="25"/>
      <c r="G8" s="25"/>
      <c r="H8" s="26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9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9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101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99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104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3" t="s">
        <v>102</v>
      </c>
      <c r="C9" s="24" t="s">
        <v>95</v>
      </c>
      <c r="D9" s="25"/>
      <c r="E9" s="25"/>
      <c r="F9" s="25"/>
      <c r="G9" s="25"/>
      <c r="H9" s="26" t="s">
        <v>103</v>
      </c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8"/>
  <sheetViews>
    <sheetView workbookViewId="0"/>
  </sheetViews>
  <sheetFormatPr defaultRowHeight="15" x14ac:dyDescent="0.25"/>
  <cols>
    <col min="1" max="1" width="11.28515625" bestFit="1" customWidth="1"/>
    <col min="2" max="2" width="38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73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105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106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67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8"/>
  <sheetViews>
    <sheetView workbookViewId="0"/>
  </sheetViews>
  <sheetFormatPr defaultRowHeight="15" x14ac:dyDescent="0.25"/>
  <cols>
    <col min="1" max="1" width="11.28515625" bestFit="1" customWidth="1"/>
    <col min="2" max="2" width="37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70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107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422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7" si="0">ROW()-5</f>
        <v>1</v>
      </c>
      <c r="B6" s="22" t="s">
        <v>108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109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8"/>
  <sheetViews>
    <sheetView workbookViewId="0"/>
  </sheetViews>
  <sheetFormatPr defaultRowHeight="15" x14ac:dyDescent="0.25"/>
  <cols>
    <col min="1" max="1" width="11.28515625" bestFit="1" customWidth="1"/>
    <col min="2" max="2" width="32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3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114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423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7" si="0">ROW()-5</f>
        <v>1</v>
      </c>
      <c r="B6" s="22" t="s">
        <v>112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115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19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11"/>
  <sheetViews>
    <sheetView workbookViewId="0"/>
  </sheetViews>
  <sheetFormatPr defaultRowHeight="15" x14ac:dyDescent="0.25"/>
  <cols>
    <col min="1" max="1" width="11.28515625" bestFit="1" customWidth="1"/>
    <col min="2" max="2" width="29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0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110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424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0" si="0">ROW()-5</f>
        <v>1</v>
      </c>
      <c r="B6" s="22" t="s">
        <v>60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113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111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112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9"/>
  <sheetViews>
    <sheetView workbookViewId="0"/>
  </sheetViews>
  <sheetFormatPr defaultRowHeight="15" x14ac:dyDescent="0.25"/>
  <cols>
    <col min="1" max="1" width="11.28515625" bestFit="1" customWidth="1"/>
    <col min="2" max="2" width="36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9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117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425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8" si="0">ROW()-5</f>
        <v>1</v>
      </c>
      <c r="B6" s="22" t="s">
        <v>66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118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100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7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0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116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121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60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119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120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9"/>
  <sheetViews>
    <sheetView workbookViewId="0"/>
  </sheetViews>
  <sheetFormatPr defaultRowHeight="15" x14ac:dyDescent="0.25"/>
  <cols>
    <col min="1" max="1" width="11.28515625" bestFit="1" customWidth="1"/>
    <col min="2" max="2" width="27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7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122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120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123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9"/>
  <sheetViews>
    <sheetView workbookViewId="0"/>
  </sheetViews>
  <sheetFormatPr defaultRowHeight="15" x14ac:dyDescent="0.25"/>
  <cols>
    <col min="1" max="1" width="11.28515625" bestFit="1" customWidth="1"/>
    <col min="2" max="2" width="32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0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124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60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63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87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9"/>
  <sheetViews>
    <sheetView workbookViewId="0"/>
  </sheetViews>
  <sheetFormatPr defaultRowHeight="15" x14ac:dyDescent="0.25"/>
  <cols>
    <col min="1" max="1" width="11.28515625" bestFit="1" customWidth="1"/>
    <col min="2" max="2" width="27.140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7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125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118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126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16"/>
  <sheetViews>
    <sheetView workbookViewId="0"/>
  </sheetViews>
  <sheetFormatPr defaultRowHeight="15" x14ac:dyDescent="0.25"/>
  <cols>
    <col min="1" max="1" width="11.28515625" bestFit="1" customWidth="1"/>
    <col min="2" max="2" width="36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62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127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128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129</v>
      </c>
      <c r="C7" s="15" t="s">
        <v>95</v>
      </c>
      <c r="D7" s="16"/>
      <c r="E7" s="16"/>
      <c r="F7" s="16"/>
      <c r="G7" s="16"/>
      <c r="H7" s="17" t="s">
        <v>96</v>
      </c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130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131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22" t="s">
        <v>132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22" t="s">
        <v>133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>ROW()-5</f>
        <v>7</v>
      </c>
      <c r="B12" s="22" t="s">
        <v>134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>ROW()-5</f>
        <v>8</v>
      </c>
      <c r="B13" s="22" t="s">
        <v>135</v>
      </c>
      <c r="C13" s="15" t="s">
        <v>13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>ROW()-5</f>
        <v>9</v>
      </c>
      <c r="B14" s="22" t="s">
        <v>136</v>
      </c>
      <c r="C14" s="15" t="s">
        <v>13</v>
      </c>
      <c r="D14" s="16"/>
      <c r="E14" s="16"/>
      <c r="F14" s="16"/>
      <c r="G14" s="16" t="s">
        <v>15</v>
      </c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>ROW()-5</f>
        <v>10</v>
      </c>
      <c r="B15" s="22" t="s">
        <v>137</v>
      </c>
      <c r="C15" s="15" t="s">
        <v>13</v>
      </c>
      <c r="D15" s="16"/>
      <c r="E15" s="16"/>
      <c r="F15" s="16"/>
      <c r="G15" s="16"/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8"/>
      <c r="B16" s="7"/>
      <c r="C16" s="7"/>
      <c r="D16" s="19"/>
      <c r="E16" s="20"/>
      <c r="F16" s="20"/>
      <c r="G16" s="20"/>
      <c r="H16" s="21"/>
      <c r="J16" s="30"/>
      <c r="K16" s="30"/>
      <c r="L16" s="30"/>
      <c r="M16" s="30"/>
      <c r="N16" s="30"/>
      <c r="O16" s="30"/>
      <c r="P16" s="30"/>
    </row>
  </sheetData>
  <mergeCells count="1">
    <mergeCell ref="J5:P16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8"/>
  <sheetViews>
    <sheetView workbookViewId="0"/>
  </sheetViews>
  <sheetFormatPr defaultRowHeight="15" x14ac:dyDescent="0.25"/>
  <cols>
    <col min="1" max="1" width="11.28515625" bestFit="1" customWidth="1"/>
    <col min="2" max="2" width="20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138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139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140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11"/>
  <sheetViews>
    <sheetView workbookViewId="0"/>
  </sheetViews>
  <sheetFormatPr defaultRowHeight="15" x14ac:dyDescent="0.25"/>
  <cols>
    <col min="1" max="1" width="11.28515625" bestFit="1" customWidth="1"/>
    <col min="2" max="2" width="19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0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141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142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145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143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144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32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22" t="s">
        <v>22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11"/>
  <sheetViews>
    <sheetView workbookViewId="0"/>
  </sheetViews>
  <sheetFormatPr defaultRowHeight="15" x14ac:dyDescent="0.25"/>
  <cols>
    <col min="1" max="1" width="11.28515625" bestFit="1" customWidth="1"/>
    <col min="2" max="2" width="18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8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146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48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148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49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22" t="s">
        <v>147</v>
      </c>
      <c r="C10" s="15" t="s">
        <v>18</v>
      </c>
      <c r="D10" s="16">
        <v>16</v>
      </c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9"/>
  <sheetViews>
    <sheetView workbookViewId="0"/>
  </sheetViews>
  <sheetFormatPr defaultRowHeight="15" x14ac:dyDescent="0.25"/>
  <cols>
    <col min="1" max="1" width="11.28515625" bestFit="1" customWidth="1"/>
    <col min="2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6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149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150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151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P9"/>
  <sheetViews>
    <sheetView workbookViewId="0"/>
  </sheetViews>
  <sheetFormatPr defaultRowHeight="15" x14ac:dyDescent="0.25"/>
  <cols>
    <col min="1" max="1" width="11.28515625" bestFit="1" customWidth="1"/>
    <col min="2" max="2" width="25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6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152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153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154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8"/>
  <sheetViews>
    <sheetView workbookViewId="0"/>
  </sheetViews>
  <sheetFormatPr defaultRowHeight="15" x14ac:dyDescent="0.25"/>
  <cols>
    <col min="1" max="1" width="11.28515625" bestFit="1" customWidth="1"/>
    <col min="2" max="2" width="36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63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155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156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158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11"/>
  <sheetViews>
    <sheetView workbookViewId="0"/>
  </sheetViews>
  <sheetFormatPr defaultRowHeight="15" x14ac:dyDescent="0.25"/>
  <cols>
    <col min="1" max="1" width="11.28515625" bestFit="1" customWidth="1"/>
    <col min="2" max="2" width="31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2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157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158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160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153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17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19</v>
      </c>
      <c r="C9" s="15" t="s">
        <v>18</v>
      </c>
      <c r="D9" s="16">
        <v>32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22" t="s">
        <v>159</v>
      </c>
      <c r="C10" s="15" t="s">
        <v>95</v>
      </c>
      <c r="D10" s="16"/>
      <c r="E10" s="16"/>
      <c r="F10" s="16"/>
      <c r="G10" s="16"/>
      <c r="H10" s="17" t="s">
        <v>96</v>
      </c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4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4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161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162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163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396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11"/>
  <sheetViews>
    <sheetView workbookViewId="0"/>
  </sheetViews>
  <sheetFormatPr defaultRowHeight="15" x14ac:dyDescent="0.25"/>
  <cols>
    <col min="1" max="1" width="11.28515625" bestFit="1" customWidth="1"/>
    <col min="2" max="2" width="21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0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164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165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167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31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162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87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22" t="s">
        <v>166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13"/>
  <sheetViews>
    <sheetView workbookViewId="0"/>
  </sheetViews>
  <sheetFormatPr defaultRowHeight="15" x14ac:dyDescent="0.25"/>
  <cols>
    <col min="1" max="1" width="11.28515625" bestFit="1" customWidth="1"/>
    <col min="2" max="2" width="17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168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156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174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169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170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165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171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172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>ROW()-5</f>
        <v>7</v>
      </c>
      <c r="B12" s="15" t="s">
        <v>173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8"/>
      <c r="B13" s="7"/>
      <c r="C13" s="7"/>
      <c r="D13" s="19"/>
      <c r="E13" s="20"/>
      <c r="F13" s="20"/>
      <c r="G13" s="20"/>
      <c r="H13" s="21"/>
      <c r="J13" s="30"/>
      <c r="K13" s="30"/>
      <c r="L13" s="30"/>
      <c r="M13" s="30"/>
      <c r="N13" s="30"/>
      <c r="O13" s="30"/>
      <c r="P13" s="30"/>
    </row>
  </sheetData>
  <mergeCells count="1">
    <mergeCell ref="J5:P13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8"/>
  <sheetViews>
    <sheetView workbookViewId="0"/>
  </sheetViews>
  <sheetFormatPr defaultRowHeight="15" x14ac:dyDescent="0.25"/>
  <cols>
    <col min="1" max="1" width="11.28515625" bestFit="1" customWidth="1"/>
    <col min="2" max="2" width="21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9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175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176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178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177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P9"/>
  <sheetViews>
    <sheetView workbookViewId="0"/>
  </sheetViews>
  <sheetFormatPr defaultRowHeight="15" x14ac:dyDescent="0.25"/>
  <cols>
    <col min="1" max="1" width="11.28515625" bestFit="1" customWidth="1"/>
    <col min="2" max="2" width="22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2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179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180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181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P9"/>
  <sheetViews>
    <sheetView workbookViewId="0"/>
  </sheetViews>
  <sheetFormatPr defaultRowHeight="15" x14ac:dyDescent="0.25"/>
  <cols>
    <col min="1" max="1" width="11.28515625" bestFit="1" customWidth="1"/>
    <col min="2" max="2" width="16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8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182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183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184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185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P8"/>
  <sheetViews>
    <sheetView workbookViewId="0"/>
  </sheetViews>
  <sheetFormatPr defaultRowHeight="15" x14ac:dyDescent="0.25"/>
  <cols>
    <col min="1" max="1" width="11.28515625" bestFit="1" customWidth="1"/>
    <col min="2" max="2" width="13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3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186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111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187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19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6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9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188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23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189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223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17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7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8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190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183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192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191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0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3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193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194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196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195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17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P8"/>
  <sheetViews>
    <sheetView workbookViewId="0"/>
  </sheetViews>
  <sheetFormatPr defaultRowHeight="15" x14ac:dyDescent="0.25"/>
  <cols>
    <col min="1" max="1" width="11.28515625" bestFit="1" customWidth="1"/>
    <col min="2" max="2" width="19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9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198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35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199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5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5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200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199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201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84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P8"/>
  <sheetViews>
    <sheetView workbookViewId="0"/>
  </sheetViews>
  <sheetFormatPr defaultRowHeight="15" x14ac:dyDescent="0.25"/>
  <cols>
    <col min="1" max="1" width="11.28515625" bestFit="1" customWidth="1"/>
    <col min="2" max="2" width="27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3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202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35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203</v>
      </c>
      <c r="C7" s="15" t="s">
        <v>21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P9"/>
  <sheetViews>
    <sheetView workbookViewId="0"/>
  </sheetViews>
  <sheetFormatPr defaultRowHeight="15" x14ac:dyDescent="0.25"/>
  <cols>
    <col min="1" max="1" width="11.28515625" bestFit="1" customWidth="1"/>
    <col min="2" max="2" width="21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5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204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35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32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9"/>
  <sheetViews>
    <sheetView workbookViewId="0"/>
  </sheetViews>
  <sheetFormatPr defaultRowHeight="15" x14ac:dyDescent="0.25"/>
  <cols>
    <col min="1" max="1" width="11.28515625" bestFit="1" customWidth="1"/>
    <col min="2" max="2" width="22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2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205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206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207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19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22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  <pageSetup orientation="portrait" horizontalDpi="4294967293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9"/>
  <sheetViews>
    <sheetView workbookViewId="0"/>
  </sheetViews>
  <sheetFormatPr defaultRowHeight="15" x14ac:dyDescent="0.25"/>
  <cols>
    <col min="1" max="1" width="11.28515625" bestFit="1" customWidth="1"/>
    <col min="2" max="2" width="23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5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208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35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15"/>
  <sheetViews>
    <sheetView workbookViewId="0"/>
  </sheetViews>
  <sheetFormatPr defaultRowHeight="15" x14ac:dyDescent="0.25"/>
  <cols>
    <col min="1" max="1" width="11.28515625" bestFit="1" customWidth="1"/>
    <col min="2" max="2" width="19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8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210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35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213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194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211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212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>ROW()-5</f>
        <v>7</v>
      </c>
      <c r="B12" s="15" t="s">
        <v>206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>ROW()-5</f>
        <v>8</v>
      </c>
      <c r="B13" s="15" t="s">
        <v>20</v>
      </c>
      <c r="C13" s="15" t="s">
        <v>21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>ROW()-5</f>
        <v>9</v>
      </c>
      <c r="B14" s="15" t="s">
        <v>22</v>
      </c>
      <c r="C14" s="15" t="s">
        <v>21</v>
      </c>
      <c r="D14" s="16"/>
      <c r="E14" s="16"/>
      <c r="F14" s="16"/>
      <c r="G14" s="16"/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8"/>
      <c r="B15" s="7"/>
      <c r="C15" s="7"/>
      <c r="D15" s="19"/>
      <c r="E15" s="20"/>
      <c r="F15" s="20"/>
      <c r="G15" s="20"/>
      <c r="H15" s="21"/>
      <c r="J15" s="30"/>
      <c r="K15" s="30"/>
      <c r="L15" s="30"/>
      <c r="M15" s="30"/>
      <c r="N15" s="30"/>
      <c r="O15" s="30"/>
      <c r="P15" s="30"/>
    </row>
  </sheetData>
  <mergeCells count="1">
    <mergeCell ref="J5:P15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P9"/>
  <sheetViews>
    <sheetView workbookViewId="0"/>
  </sheetViews>
  <sheetFormatPr defaultRowHeight="15" x14ac:dyDescent="0.25"/>
  <cols>
    <col min="1" max="1" width="11.28515625" bestFit="1" customWidth="1"/>
    <col min="2" max="2" width="18.140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8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214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195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215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10"/>
  <sheetViews>
    <sheetView workbookViewId="0"/>
  </sheetViews>
  <sheetFormatPr defaultRowHeight="15" x14ac:dyDescent="0.25"/>
  <cols>
    <col min="1" max="1" width="11.28515625" bestFit="1" customWidth="1"/>
    <col min="2" max="2" width="34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3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216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170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162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169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217</v>
      </c>
      <c r="C9" s="15" t="s">
        <v>13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1"/>
  <sheetViews>
    <sheetView workbookViewId="0"/>
  </sheetViews>
  <sheetFormatPr defaultRowHeight="15" x14ac:dyDescent="0.25"/>
  <cols>
    <col min="1" max="1" width="11.28515625" bestFit="1" customWidth="1"/>
    <col min="2" max="2" width="19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8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218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220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219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17</v>
      </c>
      <c r="C9" s="15" t="s">
        <v>18</v>
      </c>
      <c r="D9" s="16">
        <v>32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19</v>
      </c>
      <c r="C10" s="15" t="s">
        <v>18</v>
      </c>
      <c r="D10" s="16">
        <v>32</v>
      </c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P9"/>
  <sheetViews>
    <sheetView workbookViewId="0"/>
  </sheetViews>
  <sheetFormatPr defaultRowHeight="15" x14ac:dyDescent="0.25"/>
  <cols>
    <col min="1" max="1" width="11.28515625" bestFit="1" customWidth="1"/>
    <col min="2" max="2" width="26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8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221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219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4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1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222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219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224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17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</v>
      </c>
      <c r="C9" s="15" t="s">
        <v>18</v>
      </c>
      <c r="D9" s="16">
        <v>32</v>
      </c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6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9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225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226</v>
      </c>
      <c r="C6" s="15" t="s">
        <v>13</v>
      </c>
      <c r="D6" s="16"/>
      <c r="E6" s="16"/>
      <c r="F6" s="16"/>
      <c r="G6" s="16"/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35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227</v>
      </c>
      <c r="C9" s="15" t="s">
        <v>13</v>
      </c>
      <c r="D9" s="16"/>
      <c r="E9" s="25"/>
      <c r="F9" s="25"/>
      <c r="G9" s="25" t="s">
        <v>15</v>
      </c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P9"/>
  <sheetViews>
    <sheetView workbookViewId="0"/>
  </sheetViews>
  <sheetFormatPr defaultRowHeight="15" x14ac:dyDescent="0.25"/>
  <cols>
    <col min="1" max="1" width="11.28515625" bestFit="1" customWidth="1"/>
    <col min="2" max="2" width="23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3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228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230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P16"/>
  <sheetViews>
    <sheetView workbookViewId="0"/>
  </sheetViews>
  <sheetFormatPr defaultRowHeight="15" x14ac:dyDescent="0.25"/>
  <cols>
    <col min="1" max="1" width="11.28515625" bestFit="1" customWidth="1"/>
    <col min="2" max="2" width="28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7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231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28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63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71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232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72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>ROW()-5</f>
        <v>7</v>
      </c>
      <c r="B12" s="15" t="s">
        <v>233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>ROW()-5</f>
        <v>8</v>
      </c>
      <c r="B13" s="15" t="s">
        <v>267</v>
      </c>
      <c r="C13" s="15" t="s">
        <v>13</v>
      </c>
      <c r="D13" s="16"/>
      <c r="E13" s="16"/>
      <c r="F13" s="16"/>
      <c r="G13" s="16" t="s">
        <v>15</v>
      </c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>ROW()-5</f>
        <v>9</v>
      </c>
      <c r="B14" s="15" t="s">
        <v>234</v>
      </c>
      <c r="C14" s="15" t="s">
        <v>13</v>
      </c>
      <c r="D14" s="16"/>
      <c r="E14" s="16"/>
      <c r="F14" s="16"/>
      <c r="G14" s="16" t="s">
        <v>15</v>
      </c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>ROW()-5</f>
        <v>10</v>
      </c>
      <c r="B15" s="15" t="s">
        <v>73</v>
      </c>
      <c r="C15" s="15" t="s">
        <v>13</v>
      </c>
      <c r="D15" s="16"/>
      <c r="E15" s="16"/>
      <c r="F15" s="16"/>
      <c r="G15" s="16"/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8"/>
      <c r="B16" s="7"/>
      <c r="C16" s="7"/>
      <c r="D16" s="19"/>
      <c r="E16" s="20"/>
      <c r="F16" s="20"/>
      <c r="G16" s="20"/>
      <c r="H16" s="21"/>
      <c r="J16" s="30"/>
      <c r="K16" s="30"/>
      <c r="L16" s="30"/>
      <c r="M16" s="30"/>
      <c r="N16" s="30"/>
      <c r="O16" s="30"/>
      <c r="P16" s="30"/>
    </row>
  </sheetData>
  <mergeCells count="1">
    <mergeCell ref="J5:P16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6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5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235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236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237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84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8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4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238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239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240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234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28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22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P9"/>
  <sheetViews>
    <sheetView workbookViewId="0"/>
  </sheetViews>
  <sheetFormatPr defaultRowHeight="15" x14ac:dyDescent="0.25"/>
  <cols>
    <col min="1" max="1" width="11.28515625" bestFit="1" customWidth="1"/>
    <col min="2" max="2" width="18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8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234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242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20</v>
      </c>
      <c r="C7" s="15" t="s">
        <v>21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P8"/>
  <sheetViews>
    <sheetView workbookViewId="0"/>
  </sheetViews>
  <sheetFormatPr defaultRowHeight="15" x14ac:dyDescent="0.25"/>
  <cols>
    <col min="1" max="1" width="11.28515625" bestFit="1" customWidth="1"/>
    <col min="2" max="2" width="20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244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P10"/>
  <sheetViews>
    <sheetView workbookViewId="0"/>
  </sheetViews>
  <sheetFormatPr defaultRowHeight="15" x14ac:dyDescent="0.25"/>
  <cols>
    <col min="1" max="1" width="11.28515625" bestFit="1" customWidth="1"/>
    <col min="2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6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244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246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84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P8"/>
  <sheetViews>
    <sheetView workbookViewId="0"/>
  </sheetViews>
  <sheetFormatPr defaultRowHeight="15" x14ac:dyDescent="0.25"/>
  <cols>
    <col min="1" max="1" width="11.28515625" bestFit="1" customWidth="1"/>
    <col min="2" max="2" width="28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5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203</v>
      </c>
      <c r="C7" s="15" t="s">
        <v>21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9"/>
  <sheetViews>
    <sheetView workbookViewId="0"/>
  </sheetViews>
  <sheetFormatPr defaultRowHeight="15" x14ac:dyDescent="0.25"/>
  <cols>
    <col min="1" max="1" width="11.28515625" bestFit="1" customWidth="1"/>
    <col min="2" max="2" width="22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6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P19"/>
  <sheetViews>
    <sheetView workbookViewId="0"/>
  </sheetViews>
  <sheetFormatPr defaultRowHeight="15" x14ac:dyDescent="0.25"/>
  <cols>
    <col min="1" max="1" width="11.28515625" bestFit="1" customWidth="1"/>
    <col min="2" max="2" width="23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8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259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260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250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251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252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>ROW()-5</f>
        <v>7</v>
      </c>
      <c r="B12" s="15" t="s">
        <v>253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>ROW()-5</f>
        <v>8</v>
      </c>
      <c r="B13" s="15" t="s">
        <v>254</v>
      </c>
      <c r="C13" s="15" t="s">
        <v>13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>ROW()-5</f>
        <v>9</v>
      </c>
      <c r="B14" s="15" t="s">
        <v>197</v>
      </c>
      <c r="C14" s="15" t="s">
        <v>13</v>
      </c>
      <c r="D14" s="16"/>
      <c r="E14" s="16"/>
      <c r="F14" s="16"/>
      <c r="G14" s="16"/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>ROW()-5</f>
        <v>10</v>
      </c>
      <c r="B15" s="15" t="s">
        <v>255</v>
      </c>
      <c r="C15" s="15" t="s">
        <v>13</v>
      </c>
      <c r="D15" s="16"/>
      <c r="E15" s="16"/>
      <c r="F15" s="16"/>
      <c r="G15" s="16"/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4">
        <f>ROW()-5</f>
        <v>11</v>
      </c>
      <c r="B16" s="15" t="s">
        <v>256</v>
      </c>
      <c r="C16" s="15" t="s">
        <v>13</v>
      </c>
      <c r="D16" s="16"/>
      <c r="E16" s="16"/>
      <c r="F16" s="16"/>
      <c r="G16" s="16"/>
      <c r="H16" s="17"/>
      <c r="J16" s="30"/>
      <c r="K16" s="30"/>
      <c r="L16" s="30"/>
      <c r="M16" s="30"/>
      <c r="N16" s="30"/>
      <c r="O16" s="30"/>
      <c r="P16" s="30"/>
    </row>
    <row r="17" spans="1:16" x14ac:dyDescent="0.25">
      <c r="A17" s="14">
        <f>ROW()-5</f>
        <v>12</v>
      </c>
      <c r="B17" s="15" t="s">
        <v>257</v>
      </c>
      <c r="C17" s="15" t="s">
        <v>13</v>
      </c>
      <c r="D17" s="16"/>
      <c r="E17" s="16"/>
      <c r="F17" s="16"/>
      <c r="G17" s="16"/>
      <c r="H17" s="17"/>
      <c r="J17" s="30"/>
      <c r="K17" s="30"/>
      <c r="L17" s="30"/>
      <c r="M17" s="30"/>
      <c r="N17" s="30"/>
      <c r="O17" s="30"/>
      <c r="P17" s="30"/>
    </row>
    <row r="18" spans="1:16" x14ac:dyDescent="0.25">
      <c r="A18" s="14">
        <f>ROW()-5</f>
        <v>13</v>
      </c>
      <c r="B18" s="15" t="s">
        <v>258</v>
      </c>
      <c r="C18" s="15" t="s">
        <v>13</v>
      </c>
      <c r="D18" s="16"/>
      <c r="E18" s="16"/>
      <c r="F18" s="16"/>
      <c r="G18" s="16"/>
      <c r="H18" s="17"/>
      <c r="J18" s="30"/>
      <c r="K18" s="30"/>
      <c r="L18" s="30"/>
      <c r="M18" s="30"/>
      <c r="N18" s="30"/>
      <c r="O18" s="30"/>
      <c r="P18" s="30"/>
    </row>
    <row r="19" spans="1:16" x14ac:dyDescent="0.25">
      <c r="A19" s="18"/>
      <c r="B19" s="7"/>
      <c r="C19" s="7"/>
      <c r="D19" s="19"/>
      <c r="E19" s="20"/>
      <c r="F19" s="20"/>
      <c r="G19" s="20"/>
      <c r="H19" s="21"/>
      <c r="J19" s="30"/>
      <c r="K19" s="30"/>
      <c r="L19" s="30"/>
      <c r="M19" s="30"/>
      <c r="N19" s="30"/>
      <c r="O19" s="30"/>
      <c r="P19" s="30"/>
    </row>
  </sheetData>
  <mergeCells count="1">
    <mergeCell ref="J5:P19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9"/>
  <sheetViews>
    <sheetView workbookViewId="0"/>
  </sheetViews>
  <sheetFormatPr defaultRowHeight="15" x14ac:dyDescent="0.25"/>
  <cols>
    <col min="1" max="1" width="11.28515625" bestFit="1" customWidth="1"/>
    <col min="2" max="2" width="25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5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261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260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262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P9"/>
  <sheetViews>
    <sheetView workbookViewId="0"/>
  </sheetViews>
  <sheetFormatPr defaultRowHeight="15" x14ac:dyDescent="0.25"/>
  <cols>
    <col min="1" max="1" width="11.28515625" bestFit="1" customWidth="1"/>
    <col min="2" max="2" width="27.140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6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263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259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264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19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84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P9"/>
  <sheetViews>
    <sheetView workbookViewId="0"/>
  </sheetViews>
  <sheetFormatPr defaultRowHeight="15" x14ac:dyDescent="0.25"/>
  <cols>
    <col min="1" max="1" width="11.28515625" bestFit="1" customWidth="1"/>
    <col min="2" max="2" width="29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6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265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52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266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P22"/>
  <sheetViews>
    <sheetView workbookViewId="0"/>
  </sheetViews>
  <sheetFormatPr defaultRowHeight="15" x14ac:dyDescent="0.25"/>
  <cols>
    <col min="1" max="1" width="11.28515625" bestFit="1" customWidth="1"/>
    <col min="2" max="2" width="23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2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268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227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270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23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63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71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>ROW()-5</f>
        <v>7</v>
      </c>
      <c r="B12" s="15" t="s">
        <v>232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>ROW()-5</f>
        <v>8</v>
      </c>
      <c r="B13" s="15" t="s">
        <v>72</v>
      </c>
      <c r="C13" s="15" t="s">
        <v>13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>ROW()-5</f>
        <v>9</v>
      </c>
      <c r="B14" s="15" t="s">
        <v>233</v>
      </c>
      <c r="C14" s="15" t="s">
        <v>13</v>
      </c>
      <c r="D14" s="16"/>
      <c r="E14" s="16"/>
      <c r="F14" s="16"/>
      <c r="G14" s="16"/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>ROW()-5</f>
        <v>10</v>
      </c>
      <c r="B15" s="15" t="s">
        <v>267</v>
      </c>
      <c r="C15" s="15" t="s">
        <v>13</v>
      </c>
      <c r="D15" s="16"/>
      <c r="E15" s="16"/>
      <c r="F15" s="16"/>
      <c r="G15" s="16" t="s">
        <v>15</v>
      </c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4">
        <f>ROW()-5</f>
        <v>11</v>
      </c>
      <c r="B16" s="15" t="s">
        <v>236</v>
      </c>
      <c r="C16" s="15" t="s">
        <v>13</v>
      </c>
      <c r="D16" s="16"/>
      <c r="E16" s="16"/>
      <c r="F16" s="16"/>
      <c r="G16" s="16" t="s">
        <v>15</v>
      </c>
      <c r="H16" s="17"/>
      <c r="J16" s="30"/>
      <c r="K16" s="30"/>
      <c r="L16" s="30"/>
      <c r="M16" s="30"/>
      <c r="N16" s="30"/>
      <c r="O16" s="30"/>
      <c r="P16" s="30"/>
    </row>
    <row r="17" spans="1:16" x14ac:dyDescent="0.25">
      <c r="A17" s="14">
        <f>ROW()-5</f>
        <v>12</v>
      </c>
      <c r="B17" s="15" t="s">
        <v>234</v>
      </c>
      <c r="C17" s="15" t="s">
        <v>13</v>
      </c>
      <c r="D17" s="16"/>
      <c r="E17" s="16"/>
      <c r="F17" s="16"/>
      <c r="G17" s="16" t="s">
        <v>15</v>
      </c>
      <c r="H17" s="17"/>
      <c r="J17" s="30"/>
      <c r="K17" s="30"/>
      <c r="L17" s="30"/>
      <c r="M17" s="30"/>
      <c r="N17" s="30"/>
      <c r="O17" s="30"/>
      <c r="P17" s="30"/>
    </row>
    <row r="18" spans="1:16" x14ac:dyDescent="0.25">
      <c r="A18" s="14">
        <f>ROW()-5</f>
        <v>13</v>
      </c>
      <c r="B18" s="15" t="s">
        <v>73</v>
      </c>
      <c r="C18" s="15" t="s">
        <v>13</v>
      </c>
      <c r="D18" s="16"/>
      <c r="E18" s="16"/>
      <c r="F18" s="16"/>
      <c r="G18" s="16"/>
      <c r="H18" s="17"/>
      <c r="J18" s="30"/>
      <c r="K18" s="30"/>
      <c r="L18" s="30"/>
      <c r="M18" s="30"/>
      <c r="N18" s="30"/>
      <c r="O18" s="30"/>
      <c r="P18" s="30"/>
    </row>
    <row r="19" spans="1:16" x14ac:dyDescent="0.25">
      <c r="A19" s="14">
        <f>ROW()-5</f>
        <v>14</v>
      </c>
      <c r="B19" s="15" t="s">
        <v>48</v>
      </c>
      <c r="C19" s="15" t="s">
        <v>13</v>
      </c>
      <c r="D19" s="16"/>
      <c r="E19" s="16"/>
      <c r="F19" s="16"/>
      <c r="G19" s="16" t="s">
        <v>15</v>
      </c>
      <c r="H19" s="17"/>
      <c r="J19" s="30"/>
      <c r="K19" s="30"/>
      <c r="L19" s="30"/>
      <c r="M19" s="30"/>
      <c r="N19" s="30"/>
      <c r="O19" s="30"/>
      <c r="P19" s="30"/>
    </row>
    <row r="20" spans="1:16" x14ac:dyDescent="0.25">
      <c r="A20" s="14">
        <f>ROW()-5</f>
        <v>15</v>
      </c>
      <c r="B20" s="15" t="s">
        <v>142</v>
      </c>
      <c r="C20" s="15" t="s">
        <v>13</v>
      </c>
      <c r="D20" s="16"/>
      <c r="E20" s="16"/>
      <c r="F20" s="16"/>
      <c r="G20" s="16" t="s">
        <v>15</v>
      </c>
      <c r="H20" s="17"/>
      <c r="J20" s="30"/>
      <c r="K20" s="30"/>
      <c r="L20" s="30"/>
      <c r="M20" s="30"/>
      <c r="N20" s="30"/>
      <c r="O20" s="30"/>
      <c r="P20" s="30"/>
    </row>
    <row r="21" spans="1:16" x14ac:dyDescent="0.25">
      <c r="A21" s="14">
        <f>ROW()-5</f>
        <v>16</v>
      </c>
      <c r="B21" s="15" t="s">
        <v>269</v>
      </c>
      <c r="C21" s="15" t="s">
        <v>13</v>
      </c>
      <c r="D21" s="16"/>
      <c r="E21" s="16"/>
      <c r="F21" s="16"/>
      <c r="G21" s="16" t="s">
        <v>15</v>
      </c>
      <c r="H21" s="17"/>
      <c r="J21" s="30"/>
      <c r="K21" s="30"/>
      <c r="L21" s="30"/>
      <c r="M21" s="30"/>
      <c r="N21" s="30"/>
      <c r="O21" s="30"/>
      <c r="P21" s="30"/>
    </row>
    <row r="22" spans="1:16" x14ac:dyDescent="0.25">
      <c r="A22" s="18"/>
      <c r="B22" s="7"/>
      <c r="C22" s="7"/>
      <c r="D22" s="19"/>
      <c r="E22" s="20"/>
      <c r="F22" s="20"/>
      <c r="G22" s="20"/>
      <c r="H22" s="21"/>
      <c r="J22" s="30"/>
      <c r="K22" s="30"/>
      <c r="L22" s="30"/>
      <c r="M22" s="30"/>
      <c r="N22" s="30"/>
      <c r="O22" s="30"/>
      <c r="P22" s="30"/>
    </row>
  </sheetData>
  <mergeCells count="1">
    <mergeCell ref="J5:P22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8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271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84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P10"/>
  <sheetViews>
    <sheetView workbookViewId="0"/>
  </sheetViews>
  <sheetFormatPr defaultRowHeight="15" x14ac:dyDescent="0.25"/>
  <cols>
    <col min="1" max="1" width="11.28515625" bestFit="1" customWidth="1"/>
    <col min="2" max="2" width="35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4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272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273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229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274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275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P14"/>
  <sheetViews>
    <sheetView workbookViewId="0"/>
  </sheetViews>
  <sheetFormatPr defaultRowHeight="15" x14ac:dyDescent="0.25"/>
  <cols>
    <col min="1" max="1" width="11.28515625" bestFit="1" customWidth="1"/>
    <col min="2" max="2" width="17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8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276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273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281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277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278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279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>ROW()-5</f>
        <v>7</v>
      </c>
      <c r="B12" s="15" t="s">
        <v>280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>ROW()-5</f>
        <v>8</v>
      </c>
      <c r="B13" s="15" t="s">
        <v>209</v>
      </c>
      <c r="C13" s="15" t="s">
        <v>13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8"/>
      <c r="B14" s="7"/>
      <c r="C14" s="7"/>
      <c r="D14" s="19"/>
      <c r="E14" s="20"/>
      <c r="F14" s="20"/>
      <c r="G14" s="20"/>
      <c r="H14" s="21"/>
      <c r="J14" s="30"/>
      <c r="K14" s="30"/>
      <c r="L14" s="30"/>
      <c r="M14" s="30"/>
      <c r="N14" s="30"/>
      <c r="O14" s="30"/>
      <c r="P14" s="30"/>
    </row>
  </sheetData>
  <mergeCells count="1">
    <mergeCell ref="J5:P14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9"/>
  <sheetViews>
    <sheetView workbookViewId="0"/>
  </sheetViews>
  <sheetFormatPr defaultRowHeight="15" x14ac:dyDescent="0.25"/>
  <cols>
    <col min="1" max="1" width="11.28515625" bestFit="1" customWidth="1"/>
    <col min="2" max="2" width="28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5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282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273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283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284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0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285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288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286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217</v>
      </c>
      <c r="C9" s="15" t="s">
        <v>13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P9"/>
  <sheetViews>
    <sheetView workbookViewId="0"/>
  </sheetViews>
  <sheetFormatPr defaultRowHeight="15" x14ac:dyDescent="0.25"/>
  <cols>
    <col min="1" max="1" width="11.28515625" bestFit="1" customWidth="1"/>
    <col min="2" max="2" width="19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9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287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288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289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P9"/>
  <sheetViews>
    <sheetView workbookViewId="0"/>
  </sheetViews>
  <sheetFormatPr defaultRowHeight="15" x14ac:dyDescent="0.25"/>
  <cols>
    <col min="1" max="1" width="11.28515625" bestFit="1" customWidth="1"/>
    <col min="2" max="2" width="21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1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290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283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291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P12"/>
  <sheetViews>
    <sheetView workbookViewId="0"/>
  </sheetViews>
  <sheetFormatPr defaultRowHeight="15" x14ac:dyDescent="0.25"/>
  <cols>
    <col min="1" max="1" width="11.28515625" bestFit="1" customWidth="1"/>
    <col min="2" max="2" width="15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3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292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293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294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17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84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24</v>
      </c>
      <c r="C11" s="15" t="s">
        <v>95</v>
      </c>
      <c r="D11" s="16"/>
      <c r="E11" s="16"/>
      <c r="F11" s="16"/>
      <c r="G11" s="16"/>
      <c r="H11" s="17" t="s">
        <v>103</v>
      </c>
      <c r="J11" s="30"/>
      <c r="K11" s="30"/>
      <c r="L11" s="30"/>
      <c r="M11" s="30"/>
      <c r="N11" s="30"/>
      <c r="O11" s="30"/>
      <c r="P11" s="30"/>
    </row>
    <row r="12" spans="1:16" x14ac:dyDescent="0.25">
      <c r="A12" s="18"/>
      <c r="B12" s="7"/>
      <c r="C12" s="7"/>
      <c r="D12" s="19"/>
      <c r="E12" s="20"/>
      <c r="F12" s="20"/>
      <c r="G12" s="20"/>
      <c r="H12" s="21"/>
      <c r="J12" s="30"/>
      <c r="K12" s="30"/>
      <c r="L12" s="30"/>
      <c r="M12" s="30"/>
      <c r="N12" s="30"/>
      <c r="O12" s="30"/>
      <c r="P12" s="30"/>
    </row>
  </sheetData>
  <mergeCells count="1">
    <mergeCell ref="J5:P12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P8"/>
  <sheetViews>
    <sheetView workbookViewId="0"/>
  </sheetViews>
  <sheetFormatPr defaultRowHeight="15" x14ac:dyDescent="0.25"/>
  <cols>
    <col min="1" max="1" width="11.28515625" bestFit="1" customWidth="1"/>
    <col min="2" max="2" width="28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3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295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293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P14"/>
  <sheetViews>
    <sheetView workbookViewId="0"/>
  </sheetViews>
  <sheetFormatPr defaultRowHeight="15" x14ac:dyDescent="0.25"/>
  <cols>
    <col min="1" max="1" width="11.28515625" bestFit="1" customWidth="1"/>
    <col min="2" max="2" width="20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2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296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300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19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67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297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298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299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>ROW()-5</f>
        <v>7</v>
      </c>
      <c r="B12" s="15" t="s">
        <v>396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>ROW()-5</f>
        <v>8</v>
      </c>
      <c r="B13" s="15" t="s">
        <v>159</v>
      </c>
      <c r="C13" s="15" t="s">
        <v>95</v>
      </c>
      <c r="D13" s="16"/>
      <c r="E13" s="16"/>
      <c r="F13" s="16"/>
      <c r="G13" s="16"/>
      <c r="H13" s="17" t="s">
        <v>103</v>
      </c>
      <c r="J13" s="30"/>
      <c r="K13" s="30"/>
      <c r="L13" s="30"/>
      <c r="M13" s="30"/>
      <c r="N13" s="30"/>
      <c r="O13" s="30"/>
      <c r="P13" s="30"/>
    </row>
    <row r="14" spans="1:16" x14ac:dyDescent="0.25">
      <c r="A14" s="18"/>
      <c r="B14" s="7"/>
      <c r="C14" s="7"/>
      <c r="D14" s="19"/>
      <c r="E14" s="20"/>
      <c r="F14" s="20"/>
      <c r="G14" s="20"/>
      <c r="H14" s="21"/>
      <c r="J14" s="30"/>
      <c r="K14" s="30"/>
      <c r="L14" s="30"/>
      <c r="M14" s="30"/>
      <c r="N14" s="30"/>
      <c r="O14" s="30"/>
      <c r="P14" s="30"/>
    </row>
  </sheetData>
  <mergeCells count="1">
    <mergeCell ref="J5:P14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2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3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16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302</v>
      </c>
      <c r="C8" s="15" t="s">
        <v>95</v>
      </c>
      <c r="D8" s="16"/>
      <c r="E8" s="16"/>
      <c r="F8" s="16"/>
      <c r="G8" s="16"/>
      <c r="H8" s="17" t="s">
        <v>96</v>
      </c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87</v>
      </c>
      <c r="C9" s="24" t="s">
        <v>13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P9"/>
  <sheetViews>
    <sheetView workbookViewId="0"/>
  </sheetViews>
  <sheetFormatPr defaultRowHeight="15" x14ac:dyDescent="0.25"/>
  <cols>
    <col min="1" max="1" width="11.28515625" bestFit="1" customWidth="1"/>
    <col min="2" max="2" width="20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1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304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305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P9"/>
  <sheetViews>
    <sheetView workbookViewId="0"/>
  </sheetViews>
  <sheetFormatPr defaultRowHeight="15" x14ac:dyDescent="0.25"/>
  <cols>
    <col min="1" max="1" width="11.28515625" bestFit="1" customWidth="1"/>
    <col min="2" max="2" width="28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6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293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307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P8"/>
  <sheetViews>
    <sheetView workbookViewId="0"/>
  </sheetViews>
  <sheetFormatPr defaultRowHeight="15" x14ac:dyDescent="0.25"/>
  <cols>
    <col min="1" max="1" width="11.28515625" bestFit="1" customWidth="1"/>
    <col min="2" max="2" width="26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4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150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P26"/>
  <sheetViews>
    <sheetView workbookViewId="0"/>
  </sheetViews>
  <sheetFormatPr defaultRowHeight="15" x14ac:dyDescent="0.25"/>
  <cols>
    <col min="1" max="1" width="11.28515625" bestFit="1" customWidth="1"/>
    <col min="2" max="2" width="24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3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310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326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89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180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311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312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111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>ROW()-5</f>
        <v>7</v>
      </c>
      <c r="B12" s="15" t="s">
        <v>219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>ROW()-5</f>
        <v>8</v>
      </c>
      <c r="B13" s="15" t="s">
        <v>313</v>
      </c>
      <c r="C13" s="15" t="s">
        <v>13</v>
      </c>
      <c r="D13" s="16"/>
      <c r="E13" s="16"/>
      <c r="F13" s="16"/>
      <c r="G13" s="16" t="s">
        <v>15</v>
      </c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>ROW()-5</f>
        <v>9</v>
      </c>
      <c r="B14" s="15" t="s">
        <v>314</v>
      </c>
      <c r="C14" s="15" t="s">
        <v>18</v>
      </c>
      <c r="D14" s="16">
        <v>16</v>
      </c>
      <c r="E14" s="16"/>
      <c r="F14" s="16"/>
      <c r="G14" s="16"/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>ROW()-5</f>
        <v>10</v>
      </c>
      <c r="B15" s="15" t="s">
        <v>315</v>
      </c>
      <c r="C15" s="15" t="s">
        <v>13</v>
      </c>
      <c r="D15" s="16"/>
      <c r="E15" s="16"/>
      <c r="F15" s="16"/>
      <c r="G15" s="16" t="s">
        <v>15</v>
      </c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4">
        <f>ROW()-5</f>
        <v>11</v>
      </c>
      <c r="B16" s="15" t="s">
        <v>316</v>
      </c>
      <c r="C16" s="15" t="s">
        <v>13</v>
      </c>
      <c r="D16" s="16"/>
      <c r="E16" s="16"/>
      <c r="F16" s="16"/>
      <c r="G16" s="16" t="s">
        <v>15</v>
      </c>
      <c r="H16" s="17"/>
      <c r="J16" s="30"/>
      <c r="K16" s="30"/>
      <c r="L16" s="30"/>
      <c r="M16" s="30"/>
      <c r="N16" s="30"/>
      <c r="O16" s="30"/>
      <c r="P16" s="30"/>
    </row>
    <row r="17" spans="1:16" x14ac:dyDescent="0.25">
      <c r="A17" s="14">
        <f>ROW()-5</f>
        <v>12</v>
      </c>
      <c r="B17" s="15" t="s">
        <v>317</v>
      </c>
      <c r="C17" s="15" t="s">
        <v>13</v>
      </c>
      <c r="D17" s="16"/>
      <c r="E17" s="16"/>
      <c r="F17" s="16"/>
      <c r="G17" s="16"/>
      <c r="H17" s="17"/>
      <c r="J17" s="30"/>
      <c r="K17" s="30"/>
      <c r="L17" s="30"/>
      <c r="M17" s="30"/>
      <c r="N17" s="30"/>
      <c r="O17" s="30"/>
      <c r="P17" s="30"/>
    </row>
    <row r="18" spans="1:16" x14ac:dyDescent="0.25">
      <c r="A18" s="14">
        <f>ROW()-5</f>
        <v>13</v>
      </c>
      <c r="B18" s="15" t="s">
        <v>318</v>
      </c>
      <c r="C18" s="15" t="s">
        <v>13</v>
      </c>
      <c r="D18" s="16"/>
      <c r="E18" s="16"/>
      <c r="F18" s="16"/>
      <c r="G18" s="16"/>
      <c r="H18" s="17"/>
      <c r="J18" s="30"/>
      <c r="K18" s="30"/>
      <c r="L18" s="30"/>
      <c r="M18" s="30"/>
      <c r="N18" s="30"/>
      <c r="O18" s="30"/>
      <c r="P18" s="30"/>
    </row>
    <row r="19" spans="1:16" x14ac:dyDescent="0.25">
      <c r="A19" s="14">
        <f>ROW()-5</f>
        <v>14</v>
      </c>
      <c r="B19" s="15" t="s">
        <v>319</v>
      </c>
      <c r="C19" s="15" t="s">
        <v>13</v>
      </c>
      <c r="D19" s="16"/>
      <c r="E19" s="16"/>
      <c r="F19" s="16"/>
      <c r="G19" s="16"/>
      <c r="H19" s="17"/>
      <c r="J19" s="30"/>
      <c r="K19" s="30"/>
      <c r="L19" s="30"/>
      <c r="M19" s="30"/>
      <c r="N19" s="30"/>
      <c r="O19" s="30"/>
      <c r="P19" s="30"/>
    </row>
    <row r="20" spans="1:16" x14ac:dyDescent="0.25">
      <c r="A20" s="14">
        <f>ROW()-5</f>
        <v>15</v>
      </c>
      <c r="B20" s="15" t="s">
        <v>320</v>
      </c>
      <c r="C20" s="15" t="s">
        <v>13</v>
      </c>
      <c r="D20" s="16"/>
      <c r="E20" s="16"/>
      <c r="F20" s="16"/>
      <c r="G20" s="16"/>
      <c r="H20" s="17"/>
      <c r="J20" s="30"/>
      <c r="K20" s="30"/>
      <c r="L20" s="30"/>
      <c r="M20" s="30"/>
      <c r="N20" s="30"/>
      <c r="O20" s="30"/>
      <c r="P20" s="30"/>
    </row>
    <row r="21" spans="1:16" x14ac:dyDescent="0.25">
      <c r="A21" s="14">
        <f>ROW()-5</f>
        <v>16</v>
      </c>
      <c r="B21" s="15" t="s">
        <v>321</v>
      </c>
      <c r="C21" s="15" t="s">
        <v>13</v>
      </c>
      <c r="D21" s="16"/>
      <c r="E21" s="16"/>
      <c r="F21" s="16"/>
      <c r="G21" s="16" t="s">
        <v>15</v>
      </c>
      <c r="H21" s="17"/>
      <c r="J21" s="30"/>
      <c r="K21" s="30"/>
      <c r="L21" s="30"/>
      <c r="M21" s="30"/>
      <c r="N21" s="30"/>
      <c r="O21" s="30"/>
      <c r="P21" s="30"/>
    </row>
    <row r="22" spans="1:16" x14ac:dyDescent="0.25">
      <c r="A22" s="14">
        <f>ROW()-5</f>
        <v>17</v>
      </c>
      <c r="B22" s="15" t="s">
        <v>322</v>
      </c>
      <c r="C22" s="15" t="s">
        <v>13</v>
      </c>
      <c r="D22" s="16"/>
      <c r="E22" s="16"/>
      <c r="F22" s="16"/>
      <c r="G22" s="16" t="s">
        <v>15</v>
      </c>
      <c r="H22" s="17"/>
      <c r="J22" s="30"/>
      <c r="K22" s="30"/>
      <c r="L22" s="30"/>
      <c r="M22" s="30"/>
      <c r="N22" s="30"/>
      <c r="O22" s="30"/>
      <c r="P22" s="30"/>
    </row>
    <row r="23" spans="1:16" x14ac:dyDescent="0.25">
      <c r="A23" s="14">
        <f>ROW()-5</f>
        <v>18</v>
      </c>
      <c r="B23" s="15" t="s">
        <v>323</v>
      </c>
      <c r="C23" s="15" t="s">
        <v>13</v>
      </c>
      <c r="D23" s="16"/>
      <c r="E23" s="16"/>
      <c r="F23" s="16"/>
      <c r="G23" s="16" t="s">
        <v>15</v>
      </c>
      <c r="H23" s="17"/>
      <c r="J23" s="30"/>
      <c r="K23" s="30"/>
      <c r="L23" s="30"/>
      <c r="M23" s="30"/>
      <c r="N23" s="30"/>
      <c r="O23" s="30"/>
      <c r="P23" s="30"/>
    </row>
    <row r="24" spans="1:16" x14ac:dyDescent="0.25">
      <c r="A24" s="14">
        <f>ROW()-5</f>
        <v>19</v>
      </c>
      <c r="B24" s="15" t="s">
        <v>324</v>
      </c>
      <c r="C24" s="15" t="s">
        <v>95</v>
      </c>
      <c r="D24" s="16"/>
      <c r="E24" s="16"/>
      <c r="F24" s="16"/>
      <c r="G24" s="16"/>
      <c r="H24" s="17" t="s">
        <v>96</v>
      </c>
      <c r="J24" s="30"/>
      <c r="K24" s="30"/>
      <c r="L24" s="30"/>
      <c r="M24" s="30"/>
      <c r="N24" s="30"/>
      <c r="O24" s="30"/>
      <c r="P24" s="30"/>
    </row>
    <row r="25" spans="1:16" x14ac:dyDescent="0.25">
      <c r="A25" s="14">
        <f>ROW()-5</f>
        <v>20</v>
      </c>
      <c r="B25" s="15" t="s">
        <v>325</v>
      </c>
      <c r="C25" s="15" t="s">
        <v>95</v>
      </c>
      <c r="D25" s="16"/>
      <c r="E25" s="16"/>
      <c r="F25" s="16"/>
      <c r="G25" s="16"/>
      <c r="H25" s="17" t="s">
        <v>96</v>
      </c>
      <c r="J25" s="30"/>
      <c r="K25" s="30"/>
      <c r="L25" s="30"/>
      <c r="M25" s="30"/>
      <c r="N25" s="30"/>
      <c r="O25" s="30"/>
      <c r="P25" s="30"/>
    </row>
    <row r="26" spans="1:16" x14ac:dyDescent="0.25">
      <c r="A26" s="18"/>
      <c r="B26" s="7"/>
      <c r="C26" s="7"/>
      <c r="D26" s="19"/>
      <c r="E26" s="20"/>
      <c r="F26" s="20"/>
      <c r="G26" s="20"/>
      <c r="H26" s="21"/>
      <c r="J26" s="30"/>
      <c r="K26" s="30"/>
      <c r="L26" s="30"/>
      <c r="M26" s="30"/>
      <c r="N26" s="30"/>
      <c r="O26" s="30"/>
      <c r="P26" s="30"/>
    </row>
  </sheetData>
  <mergeCells count="1">
    <mergeCell ref="J5:P26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P9"/>
  <sheetViews>
    <sheetView workbookViewId="0"/>
  </sheetViews>
  <sheetFormatPr defaultRowHeight="15" x14ac:dyDescent="0.25"/>
  <cols>
    <col min="1" max="1" width="11.28515625" bestFit="1" customWidth="1"/>
    <col min="2" max="2" width="31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7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327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328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P18"/>
  <sheetViews>
    <sheetView workbookViewId="0"/>
  </sheetViews>
  <sheetFormatPr defaultRowHeight="15" x14ac:dyDescent="0.25"/>
  <cols>
    <col min="1" max="1" width="11.28515625" bestFit="1" customWidth="1"/>
    <col min="2" max="2" width="30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9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329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328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338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330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331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332</v>
      </c>
      <c r="C9" s="15" t="s">
        <v>18</v>
      </c>
      <c r="D9" s="16">
        <v>32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333</v>
      </c>
      <c r="C10" s="15" t="s">
        <v>18</v>
      </c>
      <c r="D10" s="16">
        <v>32</v>
      </c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171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>ROW()-5</f>
        <v>7</v>
      </c>
      <c r="B12" s="15" t="s">
        <v>334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>ROW()-5</f>
        <v>8</v>
      </c>
      <c r="B13" s="15" t="s">
        <v>159</v>
      </c>
      <c r="C13" s="15" t="s">
        <v>95</v>
      </c>
      <c r="D13" s="16"/>
      <c r="E13" s="16"/>
      <c r="F13" s="16"/>
      <c r="G13" s="16"/>
      <c r="H13" s="17" t="s">
        <v>103</v>
      </c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>ROW()-5</f>
        <v>9</v>
      </c>
      <c r="B14" s="15" t="s">
        <v>335</v>
      </c>
      <c r="C14" s="15" t="s">
        <v>95</v>
      </c>
      <c r="D14" s="16"/>
      <c r="E14" s="16"/>
      <c r="F14" s="16"/>
      <c r="G14" s="16"/>
      <c r="H14" s="17" t="s">
        <v>96</v>
      </c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>ROW()-5</f>
        <v>10</v>
      </c>
      <c r="B15" s="15" t="s">
        <v>336</v>
      </c>
      <c r="C15" s="15" t="s">
        <v>95</v>
      </c>
      <c r="D15" s="16"/>
      <c r="E15" s="16"/>
      <c r="F15" s="16"/>
      <c r="G15" s="16"/>
      <c r="H15" s="17" t="s">
        <v>96</v>
      </c>
      <c r="J15" s="30"/>
      <c r="K15" s="30"/>
      <c r="L15" s="30"/>
      <c r="M15" s="30"/>
      <c r="N15" s="30"/>
      <c r="O15" s="30"/>
      <c r="P15" s="30"/>
    </row>
    <row r="16" spans="1:16" x14ac:dyDescent="0.25">
      <c r="A16" s="14">
        <f>ROW()-5</f>
        <v>11</v>
      </c>
      <c r="B16" s="15" t="s">
        <v>337</v>
      </c>
      <c r="C16" s="15" t="s">
        <v>13</v>
      </c>
      <c r="D16" s="16"/>
      <c r="E16" s="16"/>
      <c r="F16" s="16"/>
      <c r="G16" s="16"/>
      <c r="H16" s="17"/>
      <c r="J16" s="30"/>
      <c r="K16" s="30"/>
      <c r="L16" s="30"/>
      <c r="M16" s="30"/>
      <c r="N16" s="30"/>
      <c r="O16" s="30"/>
      <c r="P16" s="30"/>
    </row>
    <row r="17" spans="1:16" x14ac:dyDescent="0.25">
      <c r="A17" s="14">
        <f>ROW()-5</f>
        <v>12</v>
      </c>
      <c r="B17" s="15" t="s">
        <v>396</v>
      </c>
      <c r="C17" s="15" t="s">
        <v>13</v>
      </c>
      <c r="D17" s="16"/>
      <c r="E17" s="16"/>
      <c r="F17" s="16"/>
      <c r="G17" s="16"/>
      <c r="H17" s="17"/>
      <c r="J17" s="30"/>
      <c r="K17" s="30"/>
      <c r="L17" s="30"/>
      <c r="M17" s="30"/>
      <c r="N17" s="30"/>
      <c r="O17" s="30"/>
      <c r="P17" s="30"/>
    </row>
    <row r="18" spans="1:16" x14ac:dyDescent="0.25">
      <c r="A18" s="18"/>
      <c r="B18" s="7"/>
      <c r="C18" s="7"/>
      <c r="D18" s="19"/>
      <c r="E18" s="20"/>
      <c r="F18" s="20"/>
      <c r="G18" s="20"/>
      <c r="H18" s="21"/>
      <c r="J18" s="30"/>
      <c r="K18" s="30"/>
      <c r="L18" s="30"/>
      <c r="M18" s="30"/>
      <c r="N18" s="30"/>
      <c r="O18" s="30"/>
      <c r="P18" s="30"/>
    </row>
  </sheetData>
  <mergeCells count="1">
    <mergeCell ref="J5:P18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P11"/>
  <sheetViews>
    <sheetView workbookViewId="0"/>
  </sheetViews>
  <sheetFormatPr defaultRowHeight="15" x14ac:dyDescent="0.25"/>
  <cols>
    <col min="1" max="1" width="11.28515625" bestFit="1" customWidth="1"/>
    <col min="2" max="2" width="36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3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339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328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283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91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100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340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P9"/>
  <sheetViews>
    <sheetView workbookViewId="0"/>
  </sheetViews>
  <sheetFormatPr defaultRowHeight="15" x14ac:dyDescent="0.25"/>
  <cols>
    <col min="1" max="1" width="11.28515625" bestFit="1" customWidth="1"/>
    <col min="2" max="2" width="28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8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341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169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  <pageSetup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P9"/>
  <sheetViews>
    <sheetView workbookViewId="0"/>
  </sheetViews>
  <sheetFormatPr defaultRowHeight="15" x14ac:dyDescent="0.25"/>
  <cols>
    <col min="1" max="1" width="11.28515625" bestFit="1" customWidth="1"/>
    <col min="2" max="2" width="22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3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342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343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344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0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345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169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35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166</v>
      </c>
      <c r="C9" s="15" t="s">
        <v>13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9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0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346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347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348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84</v>
      </c>
      <c r="C9" s="15" t="s">
        <v>21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P12"/>
  <sheetViews>
    <sheetView workbookViewId="0"/>
  </sheetViews>
  <sheetFormatPr defaultRowHeight="15" x14ac:dyDescent="0.25"/>
  <cols>
    <col min="1" max="1" width="11.28515625" bestFit="1" customWidth="1"/>
    <col min="2" max="2" width="26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6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349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227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347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184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396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8"/>
      <c r="B12" s="7"/>
      <c r="C12" s="7"/>
      <c r="D12" s="19"/>
      <c r="E12" s="20"/>
      <c r="F12" s="20"/>
      <c r="G12" s="20"/>
      <c r="H12" s="21"/>
      <c r="J12" s="30"/>
      <c r="K12" s="30"/>
      <c r="L12" s="30"/>
      <c r="M12" s="30"/>
      <c r="N12" s="30"/>
      <c r="O12" s="30"/>
      <c r="P12" s="30"/>
    </row>
  </sheetData>
  <mergeCells count="1">
    <mergeCell ref="J5:P12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P11"/>
  <sheetViews>
    <sheetView workbookViewId="0"/>
  </sheetViews>
  <sheetFormatPr defaultRowHeight="15" x14ac:dyDescent="0.25"/>
  <cols>
    <col min="1" max="1" width="11.28515625" bestFit="1" customWidth="1"/>
    <col min="2" max="2" width="21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2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350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351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353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352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84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P28"/>
  <sheetViews>
    <sheetView workbookViewId="0"/>
  </sheetViews>
  <sheetFormatPr defaultRowHeight="15" x14ac:dyDescent="0.25"/>
  <cols>
    <col min="1" max="1" width="11.28515625" bestFit="1" customWidth="1"/>
    <col min="2" max="2" width="23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4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354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67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367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355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356</v>
      </c>
      <c r="C10" s="15" t="s">
        <v>18</v>
      </c>
      <c r="D10" s="16">
        <v>32</v>
      </c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23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>ROW()-5</f>
        <v>7</v>
      </c>
      <c r="B12" s="15" t="s">
        <v>357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>ROW()-5</f>
        <v>8</v>
      </c>
      <c r="B13" s="15" t="s">
        <v>176</v>
      </c>
      <c r="C13" s="15" t="s">
        <v>13</v>
      </c>
      <c r="D13" s="16"/>
      <c r="E13" s="16"/>
      <c r="F13" s="16"/>
      <c r="G13" s="16" t="s">
        <v>15</v>
      </c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>ROW()-5</f>
        <v>9</v>
      </c>
      <c r="B14" s="15" t="s">
        <v>304</v>
      </c>
      <c r="C14" s="15" t="s">
        <v>13</v>
      </c>
      <c r="D14" s="16"/>
      <c r="E14" s="16"/>
      <c r="F14" s="16"/>
      <c r="G14" s="16" t="s">
        <v>15</v>
      </c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>ROW()-5</f>
        <v>10</v>
      </c>
      <c r="B15" s="15" t="s">
        <v>351</v>
      </c>
      <c r="C15" s="15" t="s">
        <v>13</v>
      </c>
      <c r="D15" s="16"/>
      <c r="E15" s="16"/>
      <c r="F15" s="16"/>
      <c r="G15" s="16" t="s">
        <v>15</v>
      </c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4">
        <f>ROW()-5</f>
        <v>11</v>
      </c>
      <c r="B16" s="15" t="s">
        <v>343</v>
      </c>
      <c r="C16" s="15" t="s">
        <v>13</v>
      </c>
      <c r="D16" s="16"/>
      <c r="E16" s="16"/>
      <c r="F16" s="16"/>
      <c r="G16" s="16" t="s">
        <v>15</v>
      </c>
      <c r="H16" s="17"/>
      <c r="J16" s="30"/>
      <c r="K16" s="30"/>
      <c r="L16" s="30"/>
      <c r="M16" s="30"/>
      <c r="N16" s="30"/>
      <c r="O16" s="30"/>
      <c r="P16" s="30"/>
    </row>
    <row r="17" spans="1:16" x14ac:dyDescent="0.25">
      <c r="A17" s="14">
        <f>ROW()-5</f>
        <v>12</v>
      </c>
      <c r="B17" s="15" t="s">
        <v>358</v>
      </c>
      <c r="C17" s="15" t="s">
        <v>13</v>
      </c>
      <c r="D17" s="16"/>
      <c r="E17" s="16"/>
      <c r="F17" s="16"/>
      <c r="G17" s="16"/>
      <c r="H17" s="17"/>
      <c r="J17" s="30"/>
      <c r="K17" s="30"/>
      <c r="L17" s="30"/>
      <c r="M17" s="30"/>
      <c r="N17" s="30"/>
      <c r="O17" s="30"/>
      <c r="P17" s="30"/>
    </row>
    <row r="18" spans="1:16" x14ac:dyDescent="0.25">
      <c r="A18" s="14">
        <f>ROW()-5</f>
        <v>13</v>
      </c>
      <c r="B18" s="15" t="s">
        <v>359</v>
      </c>
      <c r="C18" s="15" t="s">
        <v>13</v>
      </c>
      <c r="D18" s="16"/>
      <c r="E18" s="16"/>
      <c r="F18" s="16"/>
      <c r="G18" s="16"/>
      <c r="H18" s="17"/>
      <c r="J18" s="30"/>
      <c r="K18" s="30"/>
      <c r="L18" s="30"/>
      <c r="M18" s="30"/>
      <c r="N18" s="30"/>
      <c r="O18" s="30"/>
      <c r="P18" s="30"/>
    </row>
    <row r="19" spans="1:16" x14ac:dyDescent="0.25">
      <c r="A19" s="14">
        <f>ROW()-5</f>
        <v>14</v>
      </c>
      <c r="B19" s="15" t="s">
        <v>360</v>
      </c>
      <c r="C19" s="15" t="s">
        <v>13</v>
      </c>
      <c r="D19" s="16"/>
      <c r="E19" s="16"/>
      <c r="F19" s="16"/>
      <c r="G19" s="16"/>
      <c r="H19" s="17"/>
      <c r="J19" s="30"/>
      <c r="K19" s="30"/>
      <c r="L19" s="30"/>
      <c r="M19" s="30"/>
      <c r="N19" s="30"/>
      <c r="O19" s="30"/>
      <c r="P19" s="30"/>
    </row>
    <row r="20" spans="1:16" x14ac:dyDescent="0.25">
      <c r="A20" s="14">
        <f>ROW()-5</f>
        <v>15</v>
      </c>
      <c r="B20" s="15" t="s">
        <v>361</v>
      </c>
      <c r="C20" s="15" t="s">
        <v>95</v>
      </c>
      <c r="D20" s="16"/>
      <c r="E20" s="16"/>
      <c r="F20" s="16"/>
      <c r="G20" s="16"/>
      <c r="H20" s="17"/>
      <c r="J20" s="30"/>
      <c r="K20" s="30"/>
      <c r="L20" s="30"/>
      <c r="M20" s="30"/>
      <c r="N20" s="30"/>
      <c r="O20" s="30"/>
      <c r="P20" s="30"/>
    </row>
    <row r="21" spans="1:16" x14ac:dyDescent="0.25">
      <c r="A21" s="14">
        <f>ROW()-5</f>
        <v>16</v>
      </c>
      <c r="B21" s="15" t="s">
        <v>362</v>
      </c>
      <c r="C21" s="15" t="s">
        <v>13</v>
      </c>
      <c r="D21" s="16"/>
      <c r="E21" s="16"/>
      <c r="F21" s="16"/>
      <c r="G21" s="16"/>
      <c r="H21" s="17"/>
      <c r="J21" s="30"/>
      <c r="K21" s="30"/>
      <c r="L21" s="30"/>
      <c r="M21" s="30"/>
      <c r="N21" s="30"/>
      <c r="O21" s="30"/>
      <c r="P21" s="30"/>
    </row>
    <row r="22" spans="1:16" x14ac:dyDescent="0.25">
      <c r="A22" s="14">
        <f>ROW()-5</f>
        <v>17</v>
      </c>
      <c r="B22" s="15" t="s">
        <v>363</v>
      </c>
      <c r="C22" s="15" t="s">
        <v>95</v>
      </c>
      <c r="D22" s="16"/>
      <c r="E22" s="16"/>
      <c r="F22" s="16"/>
      <c r="G22" s="16"/>
      <c r="H22" s="17"/>
      <c r="J22" s="30"/>
      <c r="K22" s="30"/>
      <c r="L22" s="30"/>
      <c r="M22" s="30"/>
      <c r="N22" s="30"/>
      <c r="O22" s="30"/>
      <c r="P22" s="30"/>
    </row>
    <row r="23" spans="1:16" x14ac:dyDescent="0.25">
      <c r="A23" s="14">
        <f>ROW()-5</f>
        <v>18</v>
      </c>
      <c r="B23" s="15" t="s">
        <v>183</v>
      </c>
      <c r="C23" s="15" t="s">
        <v>13</v>
      </c>
      <c r="D23" s="16"/>
      <c r="E23" s="16"/>
      <c r="F23" s="16"/>
      <c r="G23" s="16" t="s">
        <v>15</v>
      </c>
      <c r="H23" s="17"/>
      <c r="J23" s="30"/>
      <c r="K23" s="30"/>
      <c r="L23" s="30"/>
      <c r="M23" s="30"/>
      <c r="N23" s="30"/>
      <c r="O23" s="30"/>
      <c r="P23" s="30"/>
    </row>
    <row r="24" spans="1:16" x14ac:dyDescent="0.25">
      <c r="A24" s="14">
        <f>ROW()-5</f>
        <v>19</v>
      </c>
      <c r="B24" s="15" t="s">
        <v>364</v>
      </c>
      <c r="C24" s="15" t="s">
        <v>95</v>
      </c>
      <c r="D24" s="16"/>
      <c r="E24" s="16"/>
      <c r="F24" s="16"/>
      <c r="G24" s="16"/>
      <c r="H24" s="17"/>
      <c r="J24" s="30"/>
      <c r="K24" s="30"/>
      <c r="L24" s="30"/>
      <c r="M24" s="30"/>
      <c r="N24" s="30"/>
      <c r="O24" s="30"/>
      <c r="P24" s="30"/>
    </row>
    <row r="25" spans="1:16" x14ac:dyDescent="0.25">
      <c r="A25" s="14">
        <f>ROW()-5</f>
        <v>20</v>
      </c>
      <c r="B25" s="15" t="s">
        <v>396</v>
      </c>
      <c r="C25" s="15" t="s">
        <v>13</v>
      </c>
      <c r="D25" s="16"/>
      <c r="E25" s="16"/>
      <c r="F25" s="16"/>
      <c r="G25" s="16"/>
      <c r="H25" s="17"/>
      <c r="J25" s="30"/>
      <c r="K25" s="30"/>
      <c r="L25" s="30"/>
      <c r="M25" s="30"/>
      <c r="N25" s="30"/>
      <c r="O25" s="30"/>
      <c r="P25" s="30"/>
    </row>
    <row r="26" spans="1:16" x14ac:dyDescent="0.25">
      <c r="A26" s="14">
        <f>ROW()-5</f>
        <v>21</v>
      </c>
      <c r="B26" s="15" t="s">
        <v>365</v>
      </c>
      <c r="C26" s="15" t="s">
        <v>13</v>
      </c>
      <c r="D26" s="16"/>
      <c r="E26" s="16"/>
      <c r="F26" s="16"/>
      <c r="G26" s="16"/>
      <c r="H26" s="17"/>
      <c r="J26" s="30"/>
      <c r="K26" s="30"/>
      <c r="L26" s="30"/>
      <c r="M26" s="30"/>
      <c r="N26" s="30"/>
      <c r="O26" s="30"/>
      <c r="P26" s="30"/>
    </row>
    <row r="27" spans="1:16" x14ac:dyDescent="0.25">
      <c r="A27" s="14">
        <f>ROW()-5</f>
        <v>22</v>
      </c>
      <c r="B27" s="15" t="s">
        <v>366</v>
      </c>
      <c r="C27" s="15" t="s">
        <v>21</v>
      </c>
      <c r="D27" s="16"/>
      <c r="E27" s="16"/>
      <c r="F27" s="16"/>
      <c r="G27" s="16"/>
      <c r="H27" s="17"/>
      <c r="J27" s="30"/>
      <c r="K27" s="30"/>
      <c r="L27" s="30"/>
      <c r="M27" s="30"/>
      <c r="N27" s="30"/>
      <c r="O27" s="30"/>
      <c r="P27" s="30"/>
    </row>
    <row r="28" spans="1:16" x14ac:dyDescent="0.25">
      <c r="A28" s="18"/>
      <c r="B28" s="7"/>
      <c r="C28" s="7"/>
      <c r="D28" s="19"/>
      <c r="E28" s="20"/>
      <c r="F28" s="20"/>
      <c r="G28" s="20"/>
      <c r="H28" s="21"/>
      <c r="J28" s="30"/>
      <c r="K28" s="30"/>
      <c r="L28" s="30"/>
      <c r="M28" s="30"/>
      <c r="N28" s="30"/>
      <c r="O28" s="30"/>
      <c r="P28" s="30"/>
    </row>
  </sheetData>
  <mergeCells count="1">
    <mergeCell ref="J5:P28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P8"/>
  <sheetViews>
    <sheetView workbookViewId="0"/>
  </sheetViews>
  <sheetFormatPr defaultRowHeight="15" x14ac:dyDescent="0.25"/>
  <cols>
    <col min="1" max="1" width="11.28515625" bestFit="1" customWidth="1"/>
    <col min="2" max="2" width="39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7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368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203</v>
      </c>
      <c r="C7" s="15" t="s">
        <v>21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P9"/>
  <sheetViews>
    <sheetView workbookViewId="0"/>
  </sheetViews>
  <sheetFormatPr defaultRowHeight="15" x14ac:dyDescent="0.25"/>
  <cols>
    <col min="1" max="1" width="11.28515625" bestFit="1" customWidth="1"/>
    <col min="2" max="2" width="33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1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369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169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9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0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52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100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371</v>
      </c>
      <c r="C9" s="15" t="s">
        <v>13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P9"/>
  <sheetViews>
    <sheetView workbookViewId="0"/>
  </sheetViews>
  <sheetFormatPr defaultRowHeight="15" x14ac:dyDescent="0.25"/>
  <cols>
    <col min="1" max="1" width="11.28515625" bestFit="1" customWidth="1"/>
    <col min="2" max="2" width="20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0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63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87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P9"/>
  <sheetViews>
    <sheetView workbookViewId="0"/>
  </sheetViews>
  <sheetFormatPr defaultRowHeight="15" x14ac:dyDescent="0.25"/>
  <cols>
    <col min="1" max="1" width="11.28515625" bestFit="1" customWidth="1"/>
    <col min="2" max="2" width="13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2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374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P12"/>
  <sheetViews>
    <sheetView workbookViewId="0"/>
  </sheetViews>
  <sheetFormatPr defaultRowHeight="15" x14ac:dyDescent="0.25"/>
  <cols>
    <col min="1" max="1" width="11.28515625" bestFit="1" customWidth="1"/>
    <col min="2" max="2" width="22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0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52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376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236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17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335</v>
      </c>
      <c r="C10" s="15" t="s">
        <v>95</v>
      </c>
      <c r="D10" s="16"/>
      <c r="E10" s="16"/>
      <c r="F10" s="16"/>
      <c r="G10" s="16"/>
      <c r="H10" s="17" t="s">
        <v>96</v>
      </c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>ROW()-5</f>
        <v>6</v>
      </c>
      <c r="B11" s="15" t="s">
        <v>209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8"/>
      <c r="B12" s="7"/>
      <c r="C12" s="7"/>
      <c r="D12" s="19"/>
      <c r="E12" s="20"/>
      <c r="F12" s="20"/>
      <c r="G12" s="20"/>
      <c r="H12" s="21"/>
      <c r="J12" s="30"/>
      <c r="K12" s="30"/>
      <c r="L12" s="30"/>
      <c r="M12" s="30"/>
      <c r="N12" s="30"/>
      <c r="O12" s="30"/>
      <c r="P12" s="30"/>
    </row>
  </sheetData>
  <mergeCells count="1">
    <mergeCell ref="J5:P12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P8"/>
  <sheetViews>
    <sheetView workbookViewId="0"/>
  </sheetViews>
  <sheetFormatPr defaultRowHeight="15" x14ac:dyDescent="0.25"/>
  <cols>
    <col min="1" max="1" width="11.28515625" bestFit="1" customWidth="1"/>
    <col min="2" max="2" width="26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1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139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140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P9"/>
  <sheetViews>
    <sheetView workbookViewId="0"/>
  </sheetViews>
  <sheetFormatPr defaultRowHeight="15" x14ac:dyDescent="0.25"/>
  <cols>
    <col min="1" max="1" width="11.28515625" bestFit="1" customWidth="1"/>
    <col min="2" max="2" width="26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6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269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379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143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P9"/>
  <sheetViews>
    <sheetView workbookViewId="0"/>
  </sheetViews>
  <sheetFormatPr defaultRowHeight="15" x14ac:dyDescent="0.25"/>
  <cols>
    <col min="1" max="1" width="11.28515625" bestFit="1" customWidth="1"/>
    <col min="2" max="2" width="18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2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381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382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383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P9"/>
  <sheetViews>
    <sheetView workbookViewId="0"/>
  </sheetViews>
  <sheetFormatPr defaultRowHeight="15" x14ac:dyDescent="0.25"/>
  <cols>
    <col min="1" max="1" width="11.28515625" bestFit="1" customWidth="1"/>
    <col min="2" max="2" width="23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5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63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P11"/>
  <sheetViews>
    <sheetView workbookViewId="0"/>
  </sheetViews>
  <sheetFormatPr defaultRowHeight="15" x14ac:dyDescent="0.25"/>
  <cols>
    <col min="1" max="1" width="11.28515625" bestFit="1" customWidth="1"/>
    <col min="2" max="2" width="22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386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23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236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P8"/>
  <sheetViews>
    <sheetView workbookViewId="0"/>
  </sheetViews>
  <sheetFormatPr defaultRowHeight="15" x14ac:dyDescent="0.25"/>
  <cols>
    <col min="1" max="1" width="11.28515625" bestFit="1" customWidth="1"/>
    <col min="2" max="2" width="44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68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347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P8"/>
  <sheetViews>
    <sheetView workbookViewId="0"/>
  </sheetViews>
  <sheetFormatPr defaultRowHeight="15" x14ac:dyDescent="0.25"/>
  <cols>
    <col min="1" max="1" width="11.28515625" bestFit="1" customWidth="1"/>
    <col min="2" max="2" width="26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1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9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31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390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19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23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396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P11"/>
  <sheetViews>
    <sheetView workbookViewId="0"/>
  </sheetViews>
  <sheetFormatPr defaultRowHeight="15" x14ac:dyDescent="0.25"/>
  <cols>
    <col min="1" max="1" width="11.28515625" bestFit="1" customWidth="1"/>
    <col min="2" max="2" width="16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8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391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169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392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17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  <row r="11" spans="1:16" x14ac:dyDescent="0.25">
      <c r="J11" s="28"/>
      <c r="K11" s="28"/>
      <c r="L11" s="28"/>
      <c r="M11" s="28"/>
      <c r="N11" s="28"/>
      <c r="O11" s="28"/>
      <c r="P11" s="28"/>
    </row>
  </sheetData>
  <mergeCells count="1">
    <mergeCell ref="J5:P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114</vt:i4>
      </vt:variant>
    </vt:vector>
  </HeadingPairs>
  <TitlesOfParts>
    <vt:vector size="114" baseType="lpstr">
      <vt:lpstr>pkm_abilities</vt:lpstr>
      <vt:lpstr>pkm_ability_changelog</vt:lpstr>
      <vt:lpstr>pkm_ability_flavor_text</vt:lpstr>
      <vt:lpstr>pkm_berries</vt:lpstr>
      <vt:lpstr>pkm_berry_firmness</vt:lpstr>
      <vt:lpstr>pkm_berry_flavors</vt:lpstr>
      <vt:lpstr>pkm_characteristics</vt:lpstr>
      <vt:lpstr>pkm_conquest_episodes</vt:lpstr>
      <vt:lpstr>pkm_conquest_episode_warriors</vt:lpstr>
      <vt:lpstr>pkm_conquest_kingdoms</vt:lpstr>
      <vt:lpstr>pkm_conquest_max_links</vt:lpstr>
      <vt:lpstr>pkm_conquest_move_data</vt:lpstr>
      <vt:lpstr>pkm_conquest_move_displacements</vt:lpstr>
      <vt:lpstr>pkm_conquest_move_effects</vt:lpstr>
      <vt:lpstr>pkm_conquest_move_ranges</vt:lpstr>
      <vt:lpstr>pkm_conquest_pokemon_abilities</vt:lpstr>
      <vt:lpstr>pkm_conquest_pokemon_evolution</vt:lpstr>
      <vt:lpstr>pkm_conquest_pokemon_moves</vt:lpstr>
      <vt:lpstr>pkm_conquest_pokemon_stats</vt:lpstr>
      <vt:lpstr>pkm_conquest_stats</vt:lpstr>
      <vt:lpstr>pkm_conquest_transformation_pok</vt:lpstr>
      <vt:lpstr>pkm_conquest_transformation_war</vt:lpstr>
      <vt:lpstr>pkm_conquest_warrior_archetypes</vt:lpstr>
      <vt:lpstr>pkm_conquest_warriors</vt:lpstr>
      <vt:lpstr>pkm_conquest_warrior_rank_stat_</vt:lpstr>
      <vt:lpstr>pkm_conquest_warrior_ranks</vt:lpstr>
      <vt:lpstr>pkm_conquest_warrior_skills</vt:lpstr>
      <vt:lpstr>pkm_conquest_warrior_specialtie</vt:lpstr>
      <vt:lpstr>pkm_conquest_warrior_stats</vt:lpstr>
      <vt:lpstr>pkm_conquest_warrior_transforma</vt:lpstr>
      <vt:lpstr>pkm_contest_combos</vt:lpstr>
      <vt:lpstr>pkm_contest_effects</vt:lpstr>
      <vt:lpstr>pkm_contest_types</vt:lpstr>
      <vt:lpstr>pkm_egg_groups</vt:lpstr>
      <vt:lpstr>pkm_encounter_conditions</vt:lpstr>
      <vt:lpstr>pkm_encounter_condition_value_m</vt:lpstr>
      <vt:lpstr>pkm_encounter_condition_values</vt:lpstr>
      <vt:lpstr>pkm_encounter_methods</vt:lpstr>
      <vt:lpstr>pkm_encounter_slots</vt:lpstr>
      <vt:lpstr>pkm_encounters</vt:lpstr>
      <vt:lpstr>pkm_evolution_chains</vt:lpstr>
      <vt:lpstr>pkm_evolution_triggers</vt:lpstr>
      <vt:lpstr>pkm_experience</vt:lpstr>
      <vt:lpstr>pkm_genders</vt:lpstr>
      <vt:lpstr>pkm_generations</vt:lpstr>
      <vt:lpstr>pkm_growth_rates</vt:lpstr>
      <vt:lpstr>pkm_item_categories</vt:lpstr>
      <vt:lpstr>pkm_item_flag_map</vt:lpstr>
      <vt:lpstr>pkm_item_flags</vt:lpstr>
      <vt:lpstr>pkm_item_flavor_summaries</vt:lpstr>
      <vt:lpstr>pkm_item_flavor_text</vt:lpstr>
      <vt:lpstr>pkm_item_fling_effects</vt:lpstr>
      <vt:lpstr>pkm_item_game_indices</vt:lpstr>
      <vt:lpstr>pkm_items</vt:lpstr>
      <vt:lpstr>pkm_item_pockets</vt:lpstr>
      <vt:lpstr>pkm_location_area_encounter_rat</vt:lpstr>
      <vt:lpstr>pkm_location_areas</vt:lpstr>
      <vt:lpstr>pkm_location_game_indices</vt:lpstr>
      <vt:lpstr>pkm_locations</vt:lpstr>
      <vt:lpstr>pkm_machines</vt:lpstr>
      <vt:lpstr>pkm_move_battle_styles</vt:lpstr>
      <vt:lpstr>pkm_move_changelog</vt:lpstr>
      <vt:lpstr>pkm_move_damage_classes</vt:lpstr>
      <vt:lpstr>pkm_move_effect_changelog</vt:lpstr>
      <vt:lpstr>pkm_move_effects</vt:lpstr>
      <vt:lpstr>pkm_move_flag_map</vt:lpstr>
      <vt:lpstr>pkm_move_flags</vt:lpstr>
      <vt:lpstr>pkm_move_flavor_summaries</vt:lpstr>
      <vt:lpstr>pkm_move_flavor_text</vt:lpstr>
      <vt:lpstr>pkm_move_meta</vt:lpstr>
      <vt:lpstr>pkm_move_meta_ailments</vt:lpstr>
      <vt:lpstr>pkm_move_meta_categories</vt:lpstr>
      <vt:lpstr>pkm_move_meta_stat_changes</vt:lpstr>
      <vt:lpstr>pkm_moves</vt:lpstr>
      <vt:lpstr>pkm_move_targets</vt:lpstr>
      <vt:lpstr>pkm_nature_battle_style_prefere</vt:lpstr>
      <vt:lpstr>pkm_natures</vt:lpstr>
      <vt:lpstr>pkm_nature_pokeathlon_stats</vt:lpstr>
      <vt:lpstr>pkm_pal_park</vt:lpstr>
      <vt:lpstr>pkm_pal_park_areas</vt:lpstr>
      <vt:lpstr>pkm_pokeathlon_stats</vt:lpstr>
      <vt:lpstr>pkm_pokedexes</vt:lpstr>
      <vt:lpstr>pkm_pokedex_version_groups</vt:lpstr>
      <vt:lpstr>pkm_pokemon</vt:lpstr>
      <vt:lpstr>pkm_pokemon_abilities</vt:lpstr>
      <vt:lpstr>pkm_pokemon_colors</vt:lpstr>
      <vt:lpstr>pkm_pokemon_dex_numbers</vt:lpstr>
      <vt:lpstr>pkm_pokemon_egg_groups</vt:lpstr>
      <vt:lpstr>pkm_pokemon_evolution</vt:lpstr>
      <vt:lpstr>pkm_pokemon_form_generations</vt:lpstr>
      <vt:lpstr>pkm_pokemon_forms</vt:lpstr>
      <vt:lpstr>pkm_pokemon_form_pokeathlon_sta</vt:lpstr>
      <vt:lpstr>pkm_pokemon_game_indices</vt:lpstr>
      <vt:lpstr>pkm_pokemon_habitats</vt:lpstr>
      <vt:lpstr>pkm_pokemon_items</vt:lpstr>
      <vt:lpstr>pkm_pokemon_move_methods</vt:lpstr>
      <vt:lpstr>pkm_pokemon_moves</vt:lpstr>
      <vt:lpstr>pkm_pokemon_shapes</vt:lpstr>
      <vt:lpstr>pkm_pokemon_species</vt:lpstr>
      <vt:lpstr>pkm_pokemon_species_flavor_summ</vt:lpstr>
      <vt:lpstr>pkm_pokemon_species_flavor_text</vt:lpstr>
      <vt:lpstr>pkm_pokemon_stats</vt:lpstr>
      <vt:lpstr>pkm_pokemon_types</vt:lpstr>
      <vt:lpstr>pkm_regions</vt:lpstr>
      <vt:lpstr>pkm_stats</vt:lpstr>
      <vt:lpstr>pkm_super_contest_combos</vt:lpstr>
      <vt:lpstr>pkm_super_contest_effects</vt:lpstr>
      <vt:lpstr>pkm_type_efficacy</vt:lpstr>
      <vt:lpstr>pkm_type_game_indices</vt:lpstr>
      <vt:lpstr>pkm_types</vt:lpstr>
      <vt:lpstr>pkm_version_group_pokemon_move_</vt:lpstr>
      <vt:lpstr>pkm_version_group_regions</vt:lpstr>
      <vt:lpstr>pkm_version_groups</vt:lpstr>
      <vt:lpstr>pkm_versions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2017-09-15T07:05:24Z</dcterms:created>
  <dcterms:modified xsi:type="dcterms:W3CDTF">2017-09-19T09:44:57Z</dcterms:modified>
</cp:coreProperties>
</file>